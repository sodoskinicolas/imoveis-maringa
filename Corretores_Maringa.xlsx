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tores Maringá" sheetId="1" state="visible" r:id="rId3"/>
    <sheet name="Resum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<sst xmlns="http://schemas.openxmlformats.org/spreadsheetml/2006/main" count="234" uniqueCount="165">
  <si>
    <t xml:space="preserve">📋 CORRETORES E IMOBILIÁRIAS — MARINGÁ / PR</t>
  </si>
  <si>
    <t xml:space="preserve">Nome / Imobiliária</t>
  </si>
  <si>
    <t xml:space="preserve">Tipo</t>
  </si>
  <si>
    <t xml:space="preserve">Telefone Principal</t>
  </si>
  <si>
    <t xml:space="preserve">WhatsApp</t>
  </si>
  <si>
    <t xml:space="preserve">Telefone 2</t>
  </si>
  <si>
    <t xml:space="preserve">Telefone 3</t>
  </si>
  <si>
    <t xml:space="preserve">E-mail</t>
  </si>
  <si>
    <t xml:space="preserve">Site</t>
  </si>
  <si>
    <t xml:space="preserve">CRECI</t>
  </si>
  <si>
    <t xml:space="preserve">Observações</t>
  </si>
  <si>
    <t xml:space="preserve">Status Contato</t>
  </si>
  <si>
    <t xml:space="preserve">Silvio Iwata Imóveis</t>
  </si>
  <si>
    <t xml:space="preserve">Imobiliária</t>
  </si>
  <si>
    <t xml:space="preserve">(44) 3112-1567</t>
  </si>
  <si>
    <t xml:space="preserve">(44) 3112-1565</t>
  </si>
  <si>
    <t xml:space="preserve">sitematriz@silvioiwata.com.br</t>
  </si>
  <si>
    <t xml:space="preserve">silvioiwata.com.br</t>
  </si>
  <si>
    <t xml:space="preserve">Desde 1976 - referência em Maringá</t>
  </si>
  <si>
    <t xml:space="preserve">Aguardando contato</t>
  </si>
  <si>
    <t xml:space="preserve">Opção Imóveis</t>
  </si>
  <si>
    <t xml:space="preserve">(44) 3033-1300</t>
  </si>
  <si>
    <t xml:space="preserve">(44) 99717-0113</t>
  </si>
  <si>
    <t xml:space="preserve">(44) 3032-1300</t>
  </si>
  <si>
    <t xml:space="preserve">venda@opcaoimoveis.com.br</t>
  </si>
  <si>
    <t xml:space="preserve">opcaoimoveis.com.br</t>
  </si>
  <si>
    <t xml:space="preserve">Grande volume de anúncios</t>
  </si>
  <si>
    <t xml:space="preserve">Imobiliária Nacional MGA</t>
  </si>
  <si>
    <t xml:space="preserve">(44) 3023-6060</t>
  </si>
  <si>
    <t xml:space="preserve">(44) 3023-6062</t>
  </si>
  <si>
    <t xml:space="preserve">imobiliarianacionalmga.com.br</t>
  </si>
  <si>
    <t xml:space="preserve">Maringá Imóveis</t>
  </si>
  <si>
    <t xml:space="preserve">(44) 3020-0717</t>
  </si>
  <si>
    <t xml:space="preserve">(44) 99994-0717</t>
  </si>
  <si>
    <t xml:space="preserve">contato@maringaimoveis.com.br</t>
  </si>
  <si>
    <t xml:space="preserve">maringaimoveis.com.br</t>
  </si>
  <si>
    <t xml:space="preserve">cm.maringaimoveis@gmail.com</t>
  </si>
  <si>
    <t xml:space="preserve">Imobiliária Daros</t>
  </si>
  <si>
    <t xml:space="preserve">(44) 3226-3664</t>
  </si>
  <si>
    <t xml:space="preserve">(44) 99907-4479</t>
  </si>
  <si>
    <t xml:space="preserve">(44) 3024-3664</t>
  </si>
  <si>
    <t xml:space="preserve">imobiliariadaros.com.br</t>
  </si>
  <si>
    <t xml:space="preserve">Madeira Imobiliária</t>
  </si>
  <si>
    <t xml:space="preserve">(44) 3305-9391</t>
  </si>
  <si>
    <t xml:space="preserve">(44) 99107-1500</t>
  </si>
  <si>
    <t xml:space="preserve">(44) 99859-2548</t>
  </si>
  <si>
    <t xml:space="preserve">madeiraimobiliaria.com.br</t>
  </si>
  <si>
    <t xml:space="preserve">Haraki Imóveis</t>
  </si>
  <si>
    <t xml:space="preserve">(44) 3200-0785</t>
  </si>
  <si>
    <t xml:space="preserve">(44) 99847-7274</t>
  </si>
  <si>
    <t xml:space="preserve">(44) 99174-8877</t>
  </si>
  <si>
    <t xml:space="preserve">contato@harakiimoveis.com.br</t>
  </si>
  <si>
    <t xml:space="preserve">harakiimoveis.com.br</t>
  </si>
  <si>
    <t xml:space="preserve">WA Financiamento: (44) 99174-8877 | Av. Brasil 6159</t>
  </si>
  <si>
    <t xml:space="preserve">Massaru Imóveis</t>
  </si>
  <si>
    <t xml:space="preserve">(44) 3026-4441</t>
  </si>
  <si>
    <t xml:space="preserve">(44) 99830-7555</t>
  </si>
  <si>
    <t xml:space="preserve">imoveismassaru@gmail.com</t>
  </si>
  <si>
    <t xml:space="preserve">massaruimoveis.com.br</t>
  </si>
  <si>
    <t xml:space="preserve">Av. Herval 1322, Zona 07</t>
  </si>
  <si>
    <t xml:space="preserve">Bellakaza Negócios Imobiliários</t>
  </si>
  <si>
    <t xml:space="preserve">(44) 3032-3100</t>
  </si>
  <si>
    <t xml:space="preserve">bellakaza.com.br</t>
  </si>
  <si>
    <t xml:space="preserve">CRECI J - Av. Tiradentes 25</t>
  </si>
  <si>
    <t xml:space="preserve">Lélo Imóveis</t>
  </si>
  <si>
    <t xml:space="preserve">(44) 3225-5858</t>
  </si>
  <si>
    <t xml:space="preserve">(44) 99109-5960</t>
  </si>
  <si>
    <t xml:space="preserve">leloimoveis.com.br</t>
  </si>
  <si>
    <t xml:space="preserve">Pedro Granado Imóveis</t>
  </si>
  <si>
    <t xml:space="preserve">(44) 3222-8866</t>
  </si>
  <si>
    <t xml:space="preserve">(44) 3028-8866</t>
  </si>
  <si>
    <t xml:space="preserve">pedrogranado.com.br</t>
  </si>
  <si>
    <t xml:space="preserve">RS Imóveis</t>
  </si>
  <si>
    <t xml:space="preserve">(44) 3225-9005</t>
  </si>
  <si>
    <t xml:space="preserve">(44) 99723-5540</t>
  </si>
  <si>
    <t xml:space="preserve">(44) 3034-9005</t>
  </si>
  <si>
    <t xml:space="preserve">(44) 99977-3612</t>
  </si>
  <si>
    <t xml:space="preserve">rsimoveismga.com.br</t>
  </si>
  <si>
    <t xml:space="preserve">Av. Duque de Caxias 1253, Zona 07</t>
  </si>
  <si>
    <t xml:space="preserve">KZV / Casavecchia Corretores</t>
  </si>
  <si>
    <t xml:space="preserve">(44) 3265-6108</t>
  </si>
  <si>
    <t xml:space="preserve">(44) 99709-5693</t>
  </si>
  <si>
    <t xml:space="preserve">(44) 99943-5673</t>
  </si>
  <si>
    <t xml:space="preserve">kzvimoveis.com.br</t>
  </si>
  <si>
    <t xml:space="preserve">Rua Vitória 619</t>
  </si>
  <si>
    <t xml:space="preserve">44 Imóveis</t>
  </si>
  <si>
    <t xml:space="preserve">(44) 3031-6991</t>
  </si>
  <si>
    <t xml:space="preserve">(44) 98831-0422</t>
  </si>
  <si>
    <t xml:space="preserve">44imoveis.com.br</t>
  </si>
  <si>
    <t xml:space="preserve">Especializado em imóveis da Caixa/PR</t>
  </si>
  <si>
    <t xml:space="preserve">Casa do Corretor Maringá</t>
  </si>
  <si>
    <t xml:space="preserve">(44) 99107-0842</t>
  </si>
  <si>
    <t xml:space="preserve">casadocorretormga.com.br</t>
  </si>
  <si>
    <t xml:space="preserve">J07045</t>
  </si>
  <si>
    <t xml:space="preserve">Imobiliária Maringá Velho</t>
  </si>
  <si>
    <t xml:space="preserve">(44) 3346-4140</t>
  </si>
  <si>
    <t xml:space="preserve">Facebook: imobiliariamaringavelho</t>
  </si>
  <si>
    <t xml:space="preserve">Imobiliária Terraço Imóveis</t>
  </si>
  <si>
    <t xml:space="preserve">(44) 3024-2096</t>
  </si>
  <si>
    <t xml:space="preserve">Facebook: imobiliariaterracoimoveis</t>
  </si>
  <si>
    <t xml:space="preserve">Medeiros Imóveis</t>
  </si>
  <si>
    <t xml:space="preserve">(44) 99158-5897</t>
  </si>
  <si>
    <t xml:space="preserve">Facebook: medeirosimoveismaringa</t>
  </si>
  <si>
    <t xml:space="preserve">Cedrun Patrimonial</t>
  </si>
  <si>
    <t xml:space="preserve">8206J</t>
  </si>
  <si>
    <t xml:space="preserve">Alto volume anúncios ImovelWeb</t>
  </si>
  <si>
    <t xml:space="preserve">Londrina Cred Imóveis</t>
  </si>
  <si>
    <t xml:space="preserve">J5533</t>
  </si>
  <si>
    <t xml:space="preserve">544 imóveis no portal - verificar tel</t>
  </si>
  <si>
    <t xml:space="preserve">Imobiliária Serenity</t>
  </si>
  <si>
    <t xml:space="preserve">9849-J</t>
  </si>
  <si>
    <t xml:space="preserve">279 imóveis no portal - verificar tel</t>
  </si>
  <si>
    <t xml:space="preserve">Coliseu Empreendimentos</t>
  </si>
  <si>
    <t xml:space="preserve">J07285</t>
  </si>
  <si>
    <t xml:space="preserve">Casas, Apts, Sobrados</t>
  </si>
  <si>
    <t xml:space="preserve">Somos Corretores</t>
  </si>
  <si>
    <t xml:space="preserve">38905</t>
  </si>
  <si>
    <t xml:space="preserve">Apts, Casas, Terrenos</t>
  </si>
  <si>
    <t xml:space="preserve">MV Imóveis</t>
  </si>
  <si>
    <t xml:space="preserve">40768PR</t>
  </si>
  <si>
    <t xml:space="preserve">Camargo Corretor de Imóveis</t>
  </si>
  <si>
    <t xml:space="preserve">Corretor</t>
  </si>
  <si>
    <t xml:space="preserve">(44) 99849-1200</t>
  </si>
  <si>
    <t xml:space="preserve">(44) 99721-2711</t>
  </si>
  <si>
    <t xml:space="preserve">camargocorretordeimoveis@hotmail.com</t>
  </si>
  <si>
    <t xml:space="preserve">camargoimoveismaringa.com.br</t>
  </si>
  <si>
    <t xml:space="preserve">Rua Assaí 598, Jd. Novo Horizonte</t>
  </si>
  <si>
    <t xml:space="preserve">Amarildo Corretor de Imóveis</t>
  </si>
  <si>
    <t xml:space="preserve">(44) 3023-1193</t>
  </si>
  <si>
    <t xml:space="preserve">(44) 99853-0086</t>
  </si>
  <si>
    <t xml:space="preserve">(44) 99142-6122</t>
  </si>
  <si>
    <t xml:space="preserve">amarildocorretordeimoveis.com.br</t>
  </si>
  <si>
    <t xml:space="preserve">F.22863</t>
  </si>
  <si>
    <t xml:space="preserve">Adriana (Uliana Imóveis)</t>
  </si>
  <si>
    <t xml:space="preserve">(44) 3023-1195</t>
  </si>
  <si>
    <t xml:space="preserve">(44) 99903-9119</t>
  </si>
  <si>
    <t xml:space="preserve">ulianaimoveis.com.br</t>
  </si>
  <si>
    <t xml:space="preserve">21902-F</t>
  </si>
  <si>
    <t xml:space="preserve">Elson Maia Corretor</t>
  </si>
  <si>
    <t xml:space="preserve">(44) 99972-1225</t>
  </si>
  <si>
    <t xml:space="preserve">elsonmaiacorretordeimoveis.com.br</t>
  </si>
  <si>
    <t xml:space="preserve">TBS Corretor de Imóveis</t>
  </si>
  <si>
    <t xml:space="preserve">(44) 99161-9233</t>
  </si>
  <si>
    <t xml:space="preserve">tbscorretordeimoveis.com.br</t>
  </si>
  <si>
    <t xml:space="preserve">Wander Luiz Kvetiki Mareco</t>
  </si>
  <si>
    <t xml:space="preserve">37.624</t>
  </si>
  <si>
    <t xml:space="preserve">Jardim Oriental - anúncio ImovelWeb</t>
  </si>
  <si>
    <t xml:space="preserve">Thainá Novais</t>
  </si>
  <si>
    <t xml:space="preserve">(44) 99...</t>
  </si>
  <si>
    <t xml:space="preserve">CRECI-PR</t>
  </si>
  <si>
    <t xml:space="preserve">Zona 07, Sollare Residence - verificar</t>
  </si>
  <si>
    <t xml:space="preserve">Júnior Martins</t>
  </si>
  <si>
    <t xml:space="preserve">Jardim Real - verificar contato</t>
  </si>
  <si>
    <t xml:space="preserve">RESUMO — Corretores Maringá</t>
  </si>
  <si>
    <t xml:space="preserve">Total de entradas</t>
  </si>
  <si>
    <t xml:space="preserve">Imobiliárias</t>
  </si>
  <si>
    <t xml:space="preserve">Corretores ind.</t>
  </si>
  <si>
    <t xml:space="preserve">Com WhatsApp</t>
  </si>
  <si>
    <t xml:space="preserve">Com e-mail</t>
  </si>
  <si>
    <t xml:space="preserve">Data coleta</t>
  </si>
  <si>
    <t xml:space="preserve">27/06/2026</t>
  </si>
  <si>
    <t xml:space="preserve">Total CRECI-PR MGA</t>
  </si>
  <si>
    <t xml:space="preserve">1.576 corretores registrados</t>
  </si>
  <si>
    <t xml:space="preserve">Total Imob. CRECI</t>
  </si>
  <si>
    <t xml:space="preserve">251 imobiliárias registradas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</si>
</sst>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9"/>
      <color rgb="FF833C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DEEA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F7F7F"/>
      <rgbColor rgb="FF9999FF"/>
      <rgbColor rgb="FF993366"/>
      <rgbColor rgb="FFFFFF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33C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3"/>
    <col collapsed="false" customWidth="true" hidden="false" outlineLevel="0" max="6" min="3" style="0" width="17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10"/>
    <col collapsed="false" customWidth="true" hidden="false" outlineLevel="0" max="10" min="10" style="0" width="40"/>
    <col collapsed="false" customWidth="true" hidden="false" outlineLevel="0" max="11" min="11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15" hidden="false" customHeight="false" outlineLevel="0" collapsed="false">
      <c r="A3" s="3" t="s">
        <v>12</v>
      </c>
      <c r="B3" s="4" t="s">
        <v>13</v>
      </c>
      <c r="C3" s="5" t="s">
        <v>14</v>
      </c>
      <c r="D3" s="5" t="s">
        <v>15</v>
      </c>
      <c r="E3" s="5"/>
      <c r="F3" s="5"/>
      <c r="G3" s="5" t="s">
        <v>16</v>
      </c>
      <c r="H3" s="5" t="s">
        <v>17</v>
      </c>
      <c r="I3" s="5"/>
      <c r="J3" s="5" t="s">
        <v>18</v>
      </c>
      <c r="K3" s="6" t="s">
        <v>19</v>
      </c>
    </row>
    <row r="4" customFormat="false" ht="15" hidden="false" customHeight="false" outlineLevel="0" collapsed="false">
      <c r="A4" s="7" t="s">
        <v>20</v>
      </c>
      <c r="B4" s="8" t="s">
        <v>13</v>
      </c>
      <c r="C4" s="9" t="s">
        <v>21</v>
      </c>
      <c r="D4" s="9" t="s">
        <v>22</v>
      </c>
      <c r="E4" s="9" t="s">
        <v>23</v>
      </c>
      <c r="F4" s="9"/>
      <c r="G4" s="9" t="s">
        <v>24</v>
      </c>
      <c r="H4" s="9" t="s">
        <v>25</v>
      </c>
      <c r="I4" s="9"/>
      <c r="J4" s="9" t="s">
        <v>26</v>
      </c>
      <c r="K4" s="10" t="s">
        <v>19</v>
      </c>
    </row>
    <row r="5" customFormat="false" ht="15" hidden="false" customHeight="false" outlineLevel="0" collapsed="false">
      <c r="A5" s="3" t="s">
        <v>27</v>
      </c>
      <c r="B5" s="4" t="s">
        <v>13</v>
      </c>
      <c r="C5" s="5" t="s">
        <v>28</v>
      </c>
      <c r="D5" s="5"/>
      <c r="E5" s="5" t="s">
        <v>29</v>
      </c>
      <c r="F5" s="5"/>
      <c r="G5" s="5"/>
      <c r="H5" s="5" t="s">
        <v>30</v>
      </c>
      <c r="I5" s="5"/>
      <c r="J5" s="5"/>
      <c r="K5" s="6" t="s">
        <v>19</v>
      </c>
    </row>
    <row r="6" customFormat="false" ht="15" hidden="false" customHeight="false" outlineLevel="0" collapsed="false">
      <c r="A6" s="7" t="s">
        <v>31</v>
      </c>
      <c r="B6" s="8" t="s">
        <v>13</v>
      </c>
      <c r="C6" s="9" t="s">
        <v>32</v>
      </c>
      <c r="D6" s="9" t="s">
        <v>33</v>
      </c>
      <c r="E6" s="9"/>
      <c r="F6" s="9"/>
      <c r="G6" s="9" t="s">
        <v>34</v>
      </c>
      <c r="H6" s="9" t="s">
        <v>35</v>
      </c>
      <c r="I6" s="9"/>
      <c r="J6" s="9" t="s">
        <v>36</v>
      </c>
      <c r="K6" s="10" t="s">
        <v>19</v>
      </c>
    </row>
    <row r="7" customFormat="false" ht="15" hidden="false" customHeight="false" outlineLevel="0" collapsed="false">
      <c r="A7" s="3" t="s">
        <v>37</v>
      </c>
      <c r="B7" s="4" t="s">
        <v>13</v>
      </c>
      <c r="C7" s="5" t="s">
        <v>38</v>
      </c>
      <c r="D7" s="5" t="s">
        <v>39</v>
      </c>
      <c r="E7" s="5" t="s">
        <v>40</v>
      </c>
      <c r="F7" s="5"/>
      <c r="G7" s="5"/>
      <c r="H7" s="5" t="s">
        <v>41</v>
      </c>
      <c r="I7" s="5"/>
      <c r="J7" s="5"/>
      <c r="K7" s="6" t="s">
        <v>19</v>
      </c>
    </row>
    <row r="8" customFormat="false" ht="15" hidden="false" customHeight="false" outlineLevel="0" collapsed="false">
      <c r="A8" s="7" t="s">
        <v>42</v>
      </c>
      <c r="B8" s="8" t="s">
        <v>13</v>
      </c>
      <c r="C8" s="9" t="s">
        <v>43</v>
      </c>
      <c r="D8" s="9" t="s">
        <v>44</v>
      </c>
      <c r="E8" s="9" t="s">
        <v>45</v>
      </c>
      <c r="F8" s="9"/>
      <c r="G8" s="9"/>
      <c r="H8" s="9" t="s">
        <v>46</v>
      </c>
      <c r="I8" s="9"/>
      <c r="J8" s="9"/>
      <c r="K8" s="10" t="s">
        <v>19</v>
      </c>
    </row>
    <row r="9" customFormat="false" ht="15" hidden="false" customHeight="false" outlineLevel="0" collapsed="false">
      <c r="A9" s="3" t="s">
        <v>47</v>
      </c>
      <c r="B9" s="4" t="s">
        <v>13</v>
      </c>
      <c r="C9" s="5" t="s">
        <v>48</v>
      </c>
      <c r="D9" s="5" t="s">
        <v>49</v>
      </c>
      <c r="E9" s="5" t="s">
        <v>50</v>
      </c>
      <c r="F9" s="5"/>
      <c r="G9" s="5" t="s">
        <v>51</v>
      </c>
      <c r="H9" s="5" t="s">
        <v>52</v>
      </c>
      <c r="I9" s="5"/>
      <c r="J9" s="5" t="s">
        <v>53</v>
      </c>
      <c r="K9" s="6" t="s">
        <v>19</v>
      </c>
    </row>
    <row r="10" customFormat="false" ht="15" hidden="false" customHeight="false" outlineLevel="0" collapsed="false">
      <c r="A10" s="7" t="s">
        <v>54</v>
      </c>
      <c r="B10" s="8" t="s">
        <v>13</v>
      </c>
      <c r="C10" s="9" t="s">
        <v>55</v>
      </c>
      <c r="D10" s="9" t="s">
        <v>56</v>
      </c>
      <c r="E10" s="9"/>
      <c r="F10" s="9"/>
      <c r="G10" s="9" t="s">
        <v>57</v>
      </c>
      <c r="H10" s="9" t="s">
        <v>58</v>
      </c>
      <c r="I10" s="9"/>
      <c r="J10" s="9" t="s">
        <v>59</v>
      </c>
      <c r="K10" s="10" t="s">
        <v>19</v>
      </c>
    </row>
    <row r="11" customFormat="false" ht="15" hidden="false" customHeight="false" outlineLevel="0" collapsed="false">
      <c r="A11" s="3" t="s">
        <v>60</v>
      </c>
      <c r="B11" s="4" t="s">
        <v>13</v>
      </c>
      <c r="C11" s="5" t="s">
        <v>61</v>
      </c>
      <c r="D11" s="5"/>
      <c r="E11" s="5"/>
      <c r="F11" s="5"/>
      <c r="G11" s="5"/>
      <c r="H11" s="5" t="s">
        <v>62</v>
      </c>
      <c r="I11" s="5"/>
      <c r="J11" s="5" t="s">
        <v>63</v>
      </c>
      <c r="K11" s="6" t="s">
        <v>19</v>
      </c>
    </row>
    <row r="12" customFormat="false" ht="15" hidden="false" customHeight="false" outlineLevel="0" collapsed="false">
      <c r="A12" s="7" t="s">
        <v>64</v>
      </c>
      <c r="B12" s="8" t="s">
        <v>13</v>
      </c>
      <c r="C12" s="9" t="s">
        <v>65</v>
      </c>
      <c r="D12" s="9" t="s">
        <v>66</v>
      </c>
      <c r="E12" s="9"/>
      <c r="F12" s="9"/>
      <c r="G12" s="9"/>
      <c r="H12" s="9" t="s">
        <v>67</v>
      </c>
      <c r="I12" s="9"/>
      <c r="J12" s="9"/>
      <c r="K12" s="10" t="s">
        <v>19</v>
      </c>
    </row>
    <row r="13" customFormat="false" ht="15" hidden="false" customHeight="false" outlineLevel="0" collapsed="false">
      <c r="A13" s="3" t="s">
        <v>68</v>
      </c>
      <c r="B13" s="4" t="s">
        <v>13</v>
      </c>
      <c r="C13" s="5" t="s">
        <v>69</v>
      </c>
      <c r="D13" s="5"/>
      <c r="E13" s="5" t="s">
        <v>70</v>
      </c>
      <c r="F13" s="5"/>
      <c r="G13" s="5"/>
      <c r="H13" s="5" t="s">
        <v>71</v>
      </c>
      <c r="I13" s="5"/>
      <c r="J13" s="5"/>
      <c r="K13" s="6" t="s">
        <v>19</v>
      </c>
    </row>
    <row r="14" customFormat="false" ht="15" hidden="false" customHeight="false" outlineLevel="0" collapsed="false">
      <c r="A14" s="7" t="s">
        <v>72</v>
      </c>
      <c r="B14" s="8" t="s">
        <v>13</v>
      </c>
      <c r="C14" s="9" t="s">
        <v>73</v>
      </c>
      <c r="D14" s="9" t="s">
        <v>74</v>
      </c>
      <c r="E14" s="9" t="s">
        <v>75</v>
      </c>
      <c r="F14" s="9" t="s">
        <v>76</v>
      </c>
      <c r="G14" s="9"/>
      <c r="H14" s="9" t="s">
        <v>77</v>
      </c>
      <c r="I14" s="9"/>
      <c r="J14" s="9" t="s">
        <v>78</v>
      </c>
      <c r="K14" s="10" t="s">
        <v>19</v>
      </c>
    </row>
    <row r="15" customFormat="false" ht="15" hidden="false" customHeight="false" outlineLevel="0" collapsed="false">
      <c r="A15" s="3" t="s">
        <v>79</v>
      </c>
      <c r="B15" s="4" t="s">
        <v>13</v>
      </c>
      <c r="C15" s="5" t="s">
        <v>80</v>
      </c>
      <c r="D15" s="5" t="s">
        <v>81</v>
      </c>
      <c r="E15" s="5" t="s">
        <v>82</v>
      </c>
      <c r="F15" s="5"/>
      <c r="G15" s="5"/>
      <c r="H15" s="5" t="s">
        <v>83</v>
      </c>
      <c r="I15" s="5"/>
      <c r="J15" s="5" t="s">
        <v>84</v>
      </c>
      <c r="K15" s="6" t="s">
        <v>19</v>
      </c>
    </row>
    <row r="16" customFormat="false" ht="15" hidden="false" customHeight="false" outlineLevel="0" collapsed="false">
      <c r="A16" s="7" t="s">
        <v>85</v>
      </c>
      <c r="B16" s="8" t="s">
        <v>13</v>
      </c>
      <c r="C16" s="9" t="s">
        <v>86</v>
      </c>
      <c r="D16" s="9" t="s">
        <v>87</v>
      </c>
      <c r="E16" s="9"/>
      <c r="F16" s="9"/>
      <c r="G16" s="9"/>
      <c r="H16" s="9" t="s">
        <v>88</v>
      </c>
      <c r="I16" s="9"/>
      <c r="J16" s="9" t="s">
        <v>89</v>
      </c>
      <c r="K16" s="10" t="s">
        <v>19</v>
      </c>
    </row>
    <row r="17" customFormat="false" ht="15" hidden="false" customHeight="false" outlineLevel="0" collapsed="false">
      <c r="A17" s="3" t="s">
        <v>90</v>
      </c>
      <c r="B17" s="4" t="s">
        <v>13</v>
      </c>
      <c r="C17" s="5" t="s">
        <v>91</v>
      </c>
      <c r="D17" s="5" t="s">
        <v>91</v>
      </c>
      <c r="E17" s="5"/>
      <c r="F17" s="5"/>
      <c r="G17" s="5"/>
      <c r="H17" s="5" t="s">
        <v>92</v>
      </c>
      <c r="I17" s="5" t="s">
        <v>93</v>
      </c>
      <c r="J17" s="5"/>
      <c r="K17" s="6" t="s">
        <v>19</v>
      </c>
    </row>
    <row r="18" customFormat="false" ht="15" hidden="false" customHeight="false" outlineLevel="0" collapsed="false">
      <c r="A18" s="7" t="s">
        <v>94</v>
      </c>
      <c r="B18" s="8" t="s">
        <v>13</v>
      </c>
      <c r="C18" s="9" t="s">
        <v>95</v>
      </c>
      <c r="D18" s="9"/>
      <c r="E18" s="9"/>
      <c r="F18" s="9"/>
      <c r="G18" s="9"/>
      <c r="H18" s="9"/>
      <c r="I18" s="9"/>
      <c r="J18" s="9" t="s">
        <v>96</v>
      </c>
      <c r="K18" s="10" t="s">
        <v>19</v>
      </c>
    </row>
    <row r="19" customFormat="false" ht="15" hidden="false" customHeight="false" outlineLevel="0" collapsed="false">
      <c r="A19" s="3" t="s">
        <v>97</v>
      </c>
      <c r="B19" s="4" t="s">
        <v>13</v>
      </c>
      <c r="C19" s="5" t="s">
        <v>98</v>
      </c>
      <c r="D19" s="5"/>
      <c r="E19" s="5"/>
      <c r="F19" s="5"/>
      <c r="G19" s="5"/>
      <c r="H19" s="5"/>
      <c r="I19" s="5"/>
      <c r="J19" s="5" t="s">
        <v>99</v>
      </c>
      <c r="K19" s="6" t="s">
        <v>19</v>
      </c>
    </row>
    <row r="20" customFormat="false" ht="15" hidden="false" customHeight="false" outlineLevel="0" collapsed="false">
      <c r="A20" s="7" t="s">
        <v>100</v>
      </c>
      <c r="B20" s="8" t="s">
        <v>13</v>
      </c>
      <c r="C20" s="9" t="s">
        <v>101</v>
      </c>
      <c r="D20" s="9" t="s">
        <v>101</v>
      </c>
      <c r="E20" s="9"/>
      <c r="F20" s="9"/>
      <c r="G20" s="9"/>
      <c r="H20" s="9"/>
      <c r="I20" s="9"/>
      <c r="J20" s="9" t="s">
        <v>102</v>
      </c>
      <c r="K20" s="10" t="s">
        <v>19</v>
      </c>
    </row>
    <row r="21" customFormat="false" ht="15" hidden="false" customHeight="false" outlineLevel="0" collapsed="false">
      <c r="A21" s="3" t="s">
        <v>103</v>
      </c>
      <c r="B21" s="4" t="s">
        <v>13</v>
      </c>
      <c r="C21" s="5"/>
      <c r="D21" s="5"/>
      <c r="E21" s="5"/>
      <c r="F21" s="5"/>
      <c r="G21" s="5"/>
      <c r="H21" s="5"/>
      <c r="I21" s="5" t="s">
        <v>104</v>
      </c>
      <c r="J21" s="5" t="s">
        <v>105</v>
      </c>
      <c r="K21" s="6" t="s">
        <v>19</v>
      </c>
    </row>
    <row r="22" customFormat="false" ht="15" hidden="false" customHeight="false" outlineLevel="0" collapsed="false">
      <c r="A22" s="7" t="s">
        <v>106</v>
      </c>
      <c r="B22" s="8" t="s">
        <v>13</v>
      </c>
      <c r="C22" s="9"/>
      <c r="D22" s="9"/>
      <c r="E22" s="9"/>
      <c r="F22" s="9"/>
      <c r="G22" s="9"/>
      <c r="H22" s="9"/>
      <c r="I22" s="9" t="s">
        <v>107</v>
      </c>
      <c r="J22" s="9" t="s">
        <v>108</v>
      </c>
      <c r="K22" s="10" t="s">
        <v>19</v>
      </c>
    </row>
    <row r="23" customFormat="false" ht="15" hidden="false" customHeight="false" outlineLevel="0" collapsed="false">
      <c r="A23" s="3" t="s">
        <v>109</v>
      </c>
      <c r="B23" s="4" t="s">
        <v>13</v>
      </c>
      <c r="C23" s="5"/>
      <c r="D23" s="5"/>
      <c r="E23" s="5"/>
      <c r="F23" s="5"/>
      <c r="G23" s="5"/>
      <c r="H23" s="5"/>
      <c r="I23" s="5" t="s">
        <v>110</v>
      </c>
      <c r="J23" s="5" t="s">
        <v>111</v>
      </c>
      <c r="K23" s="6" t="s">
        <v>19</v>
      </c>
    </row>
    <row r="24" customFormat="false" ht="15" hidden="false" customHeight="false" outlineLevel="0" collapsed="false">
      <c r="A24" s="7" t="s">
        <v>112</v>
      </c>
      <c r="B24" s="8" t="s">
        <v>13</v>
      </c>
      <c r="C24" s="9"/>
      <c r="D24" s="9"/>
      <c r="E24" s="9"/>
      <c r="F24" s="9"/>
      <c r="G24" s="9"/>
      <c r="H24" s="9"/>
      <c r="I24" s="9" t="s">
        <v>113</v>
      </c>
      <c r="J24" s="9" t="s">
        <v>114</v>
      </c>
      <c r="K24" s="10" t="s">
        <v>19</v>
      </c>
    </row>
    <row r="25" customFormat="false" ht="15" hidden="false" customHeight="false" outlineLevel="0" collapsed="false">
      <c r="A25" s="3" t="s">
        <v>115</v>
      </c>
      <c r="B25" s="4" t="s">
        <v>13</v>
      </c>
      <c r="C25" s="5"/>
      <c r="D25" s="5"/>
      <c r="E25" s="5"/>
      <c r="F25" s="5"/>
      <c r="G25" s="5"/>
      <c r="H25" s="5"/>
      <c r="I25" s="5" t="s">
        <v>116</v>
      </c>
      <c r="J25" s="5" t="s">
        <v>117</v>
      </c>
      <c r="K25" s="6" t="s">
        <v>19</v>
      </c>
    </row>
    <row r="26" customFormat="false" ht="15" hidden="false" customHeight="false" outlineLevel="0" collapsed="false">
      <c r="A26" s="7" t="s">
        <v>118</v>
      </c>
      <c r="B26" s="8" t="s">
        <v>13</v>
      </c>
      <c r="C26" s="9"/>
      <c r="D26" s="9"/>
      <c r="E26" s="9"/>
      <c r="F26" s="9"/>
      <c r="G26" s="9"/>
      <c r="H26" s="9"/>
      <c r="I26" s="9" t="s">
        <v>119</v>
      </c>
      <c r="J26" s="9"/>
      <c r="K26" s="10" t="s">
        <v>19</v>
      </c>
    </row>
    <row r="27" customFormat="false" ht="15" hidden="false" customHeight="false" outlineLevel="0" collapsed="false">
      <c r="A27" s="3" t="s">
        <v>120</v>
      </c>
      <c r="B27" s="11" t="s">
        <v>121</v>
      </c>
      <c r="C27" s="5" t="s">
        <v>122</v>
      </c>
      <c r="D27" s="5" t="s">
        <v>122</v>
      </c>
      <c r="E27" s="5" t="s">
        <v>123</v>
      </c>
      <c r="F27" s="5"/>
      <c r="G27" s="5" t="s">
        <v>124</v>
      </c>
      <c r="H27" s="5" t="s">
        <v>125</v>
      </c>
      <c r="I27" s="5"/>
      <c r="J27" s="5" t="s">
        <v>126</v>
      </c>
      <c r="K27" s="6" t="s">
        <v>19</v>
      </c>
    </row>
    <row r="28" customFormat="false" ht="15" hidden="false" customHeight="false" outlineLevel="0" collapsed="false">
      <c r="A28" s="7" t="s">
        <v>127</v>
      </c>
      <c r="B28" s="12" t="s">
        <v>121</v>
      </c>
      <c r="C28" s="9" t="s">
        <v>128</v>
      </c>
      <c r="D28" s="9" t="s">
        <v>129</v>
      </c>
      <c r="E28" s="9" t="s">
        <v>130</v>
      </c>
      <c r="F28" s="9"/>
      <c r="G28" s="9"/>
      <c r="H28" s="9" t="s">
        <v>131</v>
      </c>
      <c r="I28" s="9" t="s">
        <v>132</v>
      </c>
      <c r="J28" s="9"/>
      <c r="K28" s="10" t="s">
        <v>19</v>
      </c>
    </row>
    <row r="29" customFormat="false" ht="15" hidden="false" customHeight="false" outlineLevel="0" collapsed="false">
      <c r="A29" s="3" t="s">
        <v>133</v>
      </c>
      <c r="B29" s="11" t="s">
        <v>121</v>
      </c>
      <c r="C29" s="5" t="s">
        <v>134</v>
      </c>
      <c r="D29" s="5" t="s">
        <v>135</v>
      </c>
      <c r="E29" s="5"/>
      <c r="F29" s="5"/>
      <c r="G29" s="5"/>
      <c r="H29" s="5" t="s">
        <v>136</v>
      </c>
      <c r="I29" s="5" t="s">
        <v>137</v>
      </c>
      <c r="J29" s="5"/>
      <c r="K29" s="6" t="s">
        <v>19</v>
      </c>
    </row>
    <row r="30" customFormat="false" ht="15" hidden="false" customHeight="false" outlineLevel="0" collapsed="false">
      <c r="A30" s="7" t="s">
        <v>138</v>
      </c>
      <c r="B30" s="12" t="s">
        <v>121</v>
      </c>
      <c r="C30" s="9" t="s">
        <v>139</v>
      </c>
      <c r="D30" s="9" t="s">
        <v>139</v>
      </c>
      <c r="E30" s="9"/>
      <c r="F30" s="9"/>
      <c r="G30" s="9"/>
      <c r="H30" s="9" t="s">
        <v>140</v>
      </c>
      <c r="I30" s="9"/>
      <c r="J30" s="9"/>
      <c r="K30" s="10" t="s">
        <v>19</v>
      </c>
    </row>
    <row r="31" customFormat="false" ht="15" hidden="false" customHeight="false" outlineLevel="0" collapsed="false">
      <c r="A31" s="3" t="s">
        <v>141</v>
      </c>
      <c r="B31" s="11" t="s">
        <v>121</v>
      </c>
      <c r="C31" s="5" t="s">
        <v>142</v>
      </c>
      <c r="D31" s="5" t="s">
        <v>142</v>
      </c>
      <c r="E31" s="5"/>
      <c r="F31" s="5"/>
      <c r="G31" s="5"/>
      <c r="H31" s="5" t="s">
        <v>143</v>
      </c>
      <c r="I31" s="5"/>
      <c r="J31" s="5"/>
      <c r="K31" s="6" t="s">
        <v>19</v>
      </c>
    </row>
    <row r="32" customFormat="false" ht="15" hidden="false" customHeight="false" outlineLevel="0" collapsed="false">
      <c r="A32" s="7" t="s">
        <v>144</v>
      </c>
      <c r="B32" s="12" t="s">
        <v>121</v>
      </c>
      <c r="C32" s="9"/>
      <c r="D32" s="9"/>
      <c r="E32" s="9"/>
      <c r="F32" s="9"/>
      <c r="G32" s="9"/>
      <c r="H32" s="9"/>
      <c r="I32" s="9" t="s">
        <v>145</v>
      </c>
      <c r="J32" s="9" t="s">
        <v>146</v>
      </c>
      <c r="K32" s="10" t="s">
        <v>19</v>
      </c>
    </row>
    <row r="33" customFormat="false" ht="15" hidden="false" customHeight="false" outlineLevel="0" collapsed="false">
      <c r="A33" s="3" t="s">
        <v>147</v>
      </c>
      <c r="B33" s="11" t="s">
        <v>121</v>
      </c>
      <c r="C33" s="5" t="s">
        <v>148</v>
      </c>
      <c r="D33" s="5" t="s">
        <v>148</v>
      </c>
      <c r="E33" s="5"/>
      <c r="F33" s="5"/>
      <c r="G33" s="5"/>
      <c r="H33" s="5"/>
      <c r="I33" s="5" t="s">
        <v>149</v>
      </c>
      <c r="J33" s="5" t="s">
        <v>150</v>
      </c>
      <c r="K33" s="6" t="s">
        <v>19</v>
      </c>
    </row>
    <row r="34" customFormat="false" ht="15" hidden="false" customHeight="false" outlineLevel="0" collapsed="false">
      <c r="A34" s="7" t="s">
        <v>151</v>
      </c>
      <c r="B34" s="12" t="s">
        <v>121</v>
      </c>
      <c r="C34" s="9" t="s">
        <v>148</v>
      </c>
      <c r="D34" s="9" t="s">
        <v>148</v>
      </c>
      <c r="E34" s="9"/>
      <c r="F34" s="9"/>
      <c r="G34" s="9"/>
      <c r="H34" s="9"/>
      <c r="I34" s="9"/>
      <c r="J34" s="9" t="s">
        <v>152</v>
      </c>
      <c r="K34" s="10" t="s">
        <v>19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"/>
  </cols>
  <sheetData>
    <row r="1" customFormat="false" ht="27.75" hidden="false" customHeight="true" outlineLevel="0" collapsed="false">
      <c r="A1" s="1" t="s">
        <v>153</v>
      </c>
      <c r="B1" s="1"/>
      <c r="C1" s="1"/>
    </row>
    <row r="3" customFormat="false" ht="15" hidden="false" customHeight="false" outlineLevel="0" collapsed="false">
      <c r="A3" s="13" t="s">
        <v>154</v>
      </c>
      <c r="B3" s="14" t="n">
        <f aca="false">COUNTA('Corretores Maringá'!A3:A34)</f>
        <v>32</v>
      </c>
    </row>
    <row r="4" customFormat="false" ht="15" hidden="false" customHeight="false" outlineLevel="0" collapsed="false">
      <c r="A4" s="13" t="s">
        <v>155</v>
      </c>
      <c r="B4" s="14" t="n">
        <f aca="false">COUNTIF('Corretores Maringá'!B3:B34,"Imobiliária")</f>
        <v>24</v>
      </c>
    </row>
    <row r="5" customFormat="false" ht="15" hidden="false" customHeight="false" outlineLevel="0" collapsed="false">
      <c r="A5" s="13" t="s">
        <v>156</v>
      </c>
      <c r="B5" s="14" t="n">
        <f aca="false">COUNTIF('Corretores Maringá'!B3:B34,"Corretor")</f>
        <v>8</v>
      </c>
    </row>
    <row r="6" customFormat="false" ht="15" hidden="false" customHeight="false" outlineLevel="0" collapsed="false">
      <c r="A6" s="13" t="s">
        <v>157</v>
      </c>
      <c r="B6" s="14" t="n">
        <f aca="false">COUNTIF('Corretores Maringá'!D3:D34,"(44)*")</f>
        <v>20</v>
      </c>
    </row>
    <row r="7" customFormat="false" ht="15" hidden="false" customHeight="false" outlineLevel="0" collapsed="false">
      <c r="A7" s="13" t="s">
        <v>158</v>
      </c>
      <c r="B7" s="14" t="n">
        <f aca="false">COUNTA('Corretores Maringá'!G3:G34)</f>
        <v>6</v>
      </c>
    </row>
    <row r="8" customFormat="false" ht="15" hidden="false" customHeight="false" outlineLevel="0" collapsed="false">
      <c r="A8" s="13" t="s">
        <v>159</v>
      </c>
      <c r="B8" s="14" t="s">
        <v>160</v>
      </c>
    </row>
    <row r="9" customFormat="false" ht="15" hidden="false" customHeight="false" outlineLevel="0" collapsed="false">
      <c r="A9" s="13" t="s">
        <v>161</v>
      </c>
      <c r="B9" s="14" t="s">
        <v>162</v>
      </c>
    </row>
    <row r="10" customFormat="false" ht="15" hidden="false" customHeight="false" outlineLevel="0" collapsed="false">
      <c r="A10" s="13" t="s">
        <v>163</v>
      </c>
      <c r="B10" s="14" t="s">
        <v>164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2026-06-28T01:21:22Z</dcterms:created>
  <dc:creator>openpyxl</dc:creator>
  <dc:description/>
  <dc:language>en-US</dc:language>
  <cp:lastModifiedBy/>
  <dcterms:modified xsi:type="dcterms:W3CDTF">2026-06-28T01:21:22Z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