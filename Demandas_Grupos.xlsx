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a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A1B8C"/>
      </patternFill>
    </fill>
    <fill>
      <patternFill patternType="solid">
        <fgColor rgb="00F0E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4B0E8"/>
      </left>
      <right style="thin">
        <color rgb="00C4B0E8"/>
      </right>
      <top style="thin">
        <color rgb="00C4B0E8"/>
      </top>
      <bottom style="thin">
        <color rgb="00C4B0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0" customWidth="1" min="4" max="4"/>
    <col width="16" customWidth="1" min="5" max="5"/>
    <col width="28" customWidth="1" min="6" max="6"/>
    <col width="13" customWidth="1" min="7" max="7"/>
    <col width="9" customWidth="1" min="8" max="8"/>
    <col width="9" customWidth="1" min="9" max="9"/>
    <col width="8" customWidth="1" min="10" max="10"/>
    <col width="18" customWidth="1" min="11" max="11"/>
    <col width="48" customWidth="1" min="12" max="12"/>
    <col width="14" customWidth="1" min="13" max="13"/>
  </cols>
  <sheetData>
    <row r="1" ht="30" customHeight="1">
      <c r="A1" s="1" t="inlineStr">
        <is>
          <t>Data</t>
        </is>
      </c>
      <c r="B1" s="1" t="inlineStr">
        <is>
          <t>Grupo</t>
        </is>
      </c>
      <c r="C1" s="1" t="inlineStr">
        <is>
          <t>Corretor</t>
        </is>
      </c>
      <c r="D1" s="1" t="inlineStr">
        <is>
          <t>Contato (WhatsApp)</t>
        </is>
      </c>
      <c r="E1" s="1" t="inlineStr">
        <is>
          <t>Tipo Buscado</t>
        </is>
      </c>
      <c r="F1" s="1" t="inlineStr">
        <is>
          <t>Bairro / Região</t>
        </is>
      </c>
      <c r="G1" s="1" t="inlineStr">
        <is>
          <t>Área Mín (m²)</t>
        </is>
      </c>
      <c r="H1" s="1" t="inlineStr">
        <is>
          <t>Quartos</t>
        </is>
      </c>
      <c r="I1" s="1" t="inlineStr">
        <is>
          <t>Suítes</t>
        </is>
      </c>
      <c r="J1" s="1" t="inlineStr">
        <is>
          <t>Banheiros</t>
        </is>
      </c>
      <c r="K1" s="1" t="inlineStr">
        <is>
          <t>Vagas</t>
        </is>
      </c>
      <c r="L1" s="1" t="inlineStr">
        <is>
          <t>Orçamento Máx (R$)</t>
        </is>
      </c>
      <c r="M1" s="1" t="inlineStr">
        <is>
          <t>Observações</t>
        </is>
      </c>
      <c r="N1" s="1" t="inlineStr">
        <is>
          <t>Status</t>
        </is>
      </c>
    </row>
    <row r="2">
      <c r="A2" s="2" t="inlineStr">
        <is>
          <t>2026-06-28</t>
        </is>
      </c>
      <c r="B2" s="2" t="inlineStr">
        <is>
          <t>INNOVARE</t>
        </is>
      </c>
      <c r="C2" s="2" t="inlineStr">
        <is>
          <t>Corretor Exemplo</t>
        </is>
      </c>
      <c r="D2" s="2" t="inlineStr">
        <is>
          <t>5544999000001</t>
        </is>
      </c>
      <c r="E2" s="2" t="inlineStr">
        <is>
          <t>Apartamento</t>
        </is>
      </c>
      <c r="F2" s="3" t="inlineStr">
        <is>
          <t>Zona 07 / Zona 03 / Novo Horizonte</t>
        </is>
      </c>
      <c r="G2" s="2" t="inlineStr">
        <is>
          <t>70</t>
        </is>
      </c>
      <c r="H2" s="2" t="inlineStr">
        <is>
          <t>3</t>
        </is>
      </c>
      <c r="I2" s="2" t="inlineStr">
        <is>
          <t>0</t>
        </is>
      </c>
      <c r="K2" s="2" t="inlineStr">
        <is>
          <t>1</t>
        </is>
      </c>
      <c r="L2" s="2" t="inlineStr">
        <is>
          <t>420000</t>
        </is>
      </c>
      <c r="M2" s="3" t="inlineStr">
        <is>
          <t>URGENTE | Vai financiar | Precisa de sacada (tem cachorro) | Prédio mais antigo ok</t>
        </is>
      </c>
      <c r="N2" s="2" t="inlineStr">
        <is>
          <t>Novo</t>
        </is>
      </c>
    </row>
    <row r="3">
      <c r="A3" s="5" t="inlineStr">
        <is>
          <t>2026-06-28</t>
        </is>
      </c>
      <c r="B3" s="5" t="inlineStr">
        <is>
          <t>INNOVARE</t>
        </is>
      </c>
      <c r="C3" s="5" t="inlineStr">
        <is>
          <t>Desconhecido</t>
        </is>
      </c>
      <c r="D3" s="5" t="inlineStr"/>
      <c r="E3" s="5" t="inlineStr">
        <is>
          <t>Apartamento</t>
        </is>
      </c>
      <c r="F3" s="6" t="inlineStr">
        <is>
          <t>Zona 07 / Zona 03 / Novo Horizonte</t>
        </is>
      </c>
      <c r="G3" s="5" t="inlineStr">
        <is>
          <t>70</t>
        </is>
      </c>
      <c r="H3" s="5" t="inlineStr">
        <is>
          <t>3</t>
        </is>
      </c>
      <c r="I3" s="5" t="inlineStr"/>
      <c r="K3" s="5" t="inlineStr">
        <is>
          <t>1</t>
        </is>
      </c>
      <c r="L3" s="5" t="inlineStr">
        <is>
          <t>420000</t>
        </is>
      </c>
      <c r="M3" s="6" t="inlineStr">
        <is>
          <t>URGENTE | Vai financiar com entrada | Precisa de sacada (tem cachorro) | Prédio mais antigo ok | Enviar PV</t>
        </is>
      </c>
      <c r="N3" s="5" t="inlineStr">
        <is>
          <t>Novo</t>
        </is>
      </c>
    </row>
    <row r="4">
      <c r="A4" s="2" t="inlineStr">
        <is>
          <t>2026-06-28</t>
        </is>
      </c>
      <c r="B4" s="2" t="inlineStr">
        <is>
          <t>INNOVARE</t>
        </is>
      </c>
      <c r="C4" s="2" t="inlineStr">
        <is>
          <t>Desconhecido</t>
        </is>
      </c>
      <c r="D4" s="2" t="inlineStr"/>
      <c r="E4" s="2" t="inlineStr">
        <is>
          <t>Apartamento</t>
        </is>
      </c>
      <c r="F4" s="3" t="inlineStr">
        <is>
          <t>Maringá</t>
        </is>
      </c>
      <c r="G4" s="2" t="inlineStr">
        <is>
          <t>110</t>
        </is>
      </c>
      <c r="H4" s="2" t="inlineStr"/>
      <c r="I4" s="2" t="inlineStr"/>
      <c r="K4" s="2" t="inlineStr">
        <is>
          <t>2</t>
        </is>
      </c>
      <c r="L4" s="2" t="inlineStr">
        <is>
          <t>680000</t>
        </is>
      </c>
      <c r="M4" s="3" t="inlineStr">
        <is>
          <t>URGENTE | Apartamento reformado e com móveis | Preferência 2 vagas | Enviar link ou informações com fotos</t>
        </is>
      </c>
      <c r="N4" s="2" t="inlineStr">
        <is>
          <t>Novo</t>
        </is>
      </c>
    </row>
  </sheetData>
  <dataValidations count="1">
    <dataValidation sqref="M2:M10000" showDropDown="0" showInputMessage="0" showErrorMessage="0" allowBlank="1" type="list">
      <formula1>"Novo,Em Contato,Encaminhado,Fechado,Cancelado"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2" t="inlineStr">
        <is>
          <t>Total de demandas</t>
        </is>
      </c>
      <c r="B2" s="2">
        <f>COUNTA(Demandas!A2:A10000)</f>
        <v/>
      </c>
    </row>
    <row r="3">
      <c r="A3" s="5" t="inlineStr">
        <is>
          <t>Demandas novas</t>
        </is>
      </c>
      <c r="B3" s="5">
        <f>COUNTIF(Demandas!M2:M10000,"Novo")</f>
        <v/>
      </c>
    </row>
    <row r="4">
      <c r="A4" s="2" t="inlineStr">
        <is>
          <t>Em contato</t>
        </is>
      </c>
      <c r="B4" s="2">
        <f>COUNTIF(Demandas!M2:M10000,"Em Contato")</f>
        <v/>
      </c>
    </row>
    <row r="5">
      <c r="A5" s="5" t="inlineStr">
        <is>
          <t>Encaminhados</t>
        </is>
      </c>
      <c r="B5" s="5">
        <f>COUNTIF(Demandas!M2:M10000,"Encaminhado")</f>
        <v/>
      </c>
    </row>
    <row r="6">
      <c r="A6" s="2" t="inlineStr">
        <is>
          <t>Fechados</t>
        </is>
      </c>
      <c r="B6" s="2">
        <f>COUNTIF(Demandas!M2:M10000,"Fechado")</f>
        <v/>
      </c>
    </row>
    <row r="7">
      <c r="A7" s="5" t="inlineStr">
        <is>
          <t>Orçamento médio (R$)</t>
        </is>
      </c>
      <c r="B7" s="5">
        <f>IFERROR(AVERAGEIF(Demandas!M2:M10000,"&lt;&gt;Cancelado",Demandas!K2:K10000),0)</f>
        <v/>
      </c>
    </row>
    <row r="8">
      <c r="A8" s="2" t="inlineStr">
        <is>
          <t>Orçamento máx solicitado</t>
        </is>
      </c>
      <c r="B8" s="2">
        <f>IFERROR(MAX(Demandas!K2:K10000),0)</f>
        <v/>
      </c>
    </row>
    <row r="9">
      <c r="A9" s="5" t="inlineStr">
        <is>
          <t>Corretores buscando</t>
        </is>
      </c>
      <c r="B9" s="5">
        <f>IFERROR(SUMPRODUCT(1/COUNTIF(Demandas!C2:C10000,Demandas!C2:C10000)),0)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2026-06-28T00:50:42Z</dcterms:created>
  <dcterms:modified xmlns:dcterms="http://purl.org/dc/terms/" xmlns:xsi="http://www.w3.org/2001/XMLSchema-instance" xsi:type="dcterms:W3CDTF">2026-06-28T18:48:30Z</dcterms:modified>
</cp:coreProperties>
</file>