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óvei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rupos" sheetId="3" state="visible" r:id="rId3"/>
    <sheet xmlns:r="http://schemas.openxmlformats.org/officeDocument/2006/relationships" name="Demandas" sheetId="4" state="visible" r:id="rId4"/>
    <sheet xmlns:r="http://schemas.openxmlformats.org/officeDocument/2006/relationships" name="Condomínios" sheetId="5" state="visible" r:id="rId5"/>
  </sheets>
  <definedNames>
    <definedName name="_xlnm._FilterDatabase" localSheetId="0" hidden="1">'Imóveis'!$A$1:$N$1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7EE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4">
    <border>
      <left/>
      <right/>
      <top/>
      <bottom/>
      <diagonal/>
    </border>
    <border>
      <left style="thin">
        <color rgb="00B0C4D8"/>
      </left>
      <right style="thin">
        <color rgb="00B0C4D8"/>
      </right>
      <top style="thin">
        <color rgb="00B0C4D8"/>
      </top>
      <bottom style="thin">
        <color rgb="00B0C4D8"/>
      </bottom>
    </border>
    <border>
      <left style="thin">
        <color rgb="00C8DFC8"/>
      </left>
      <right style="thin">
        <color rgb="00C8DFC8"/>
      </right>
      <top style="thin">
        <color rgb="00C8DFC8"/>
      </top>
      <bottom style="thin">
        <color rgb="00C8DFC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4" borderId="1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20" customWidth="1" min="4" max="4"/>
    <col width="16" customWidth="1" min="5" max="5"/>
    <col width="30" customWidth="1" min="6" max="6"/>
    <col width="10" customWidth="1" min="7" max="7"/>
    <col width="9" customWidth="1" min="8" max="8"/>
    <col width="9" customWidth="1" min="9" max="9"/>
    <col width="8" customWidth="1" min="10" max="10"/>
    <col width="16" customWidth="1" min="11" max="11"/>
    <col width="40" customWidth="1" min="12" max="12"/>
    <col width="12" customWidth="1" min="13" max="13"/>
    <col width="16" customWidth="1" min="14" max="14"/>
  </cols>
  <sheetData>
    <row r="1" ht="30" customHeight="1">
      <c r="A1" s="1" t="inlineStr">
        <is>
          <t>Data Captura</t>
        </is>
      </c>
      <c r="B1" s="1" t="inlineStr">
        <is>
          <t>Grupo</t>
        </is>
      </c>
      <c r="C1" s="1" t="inlineStr">
        <is>
          <t>Corretor</t>
        </is>
      </c>
      <c r="D1" s="1" t="inlineStr">
        <is>
          <t>Contato (WhatsApp)</t>
        </is>
      </c>
      <c r="E1" s="1" t="inlineStr">
        <is>
          <t>Tipo</t>
        </is>
      </c>
      <c r="F1" s="1" t="inlineStr">
        <is>
          <t>Bairro / Endereço</t>
        </is>
      </c>
      <c r="G1" s="1" t="inlineStr">
        <is>
          <t>Área (m²)</t>
        </is>
      </c>
      <c r="H1" s="1" t="inlineStr">
        <is>
          <t>Quartos</t>
        </is>
      </c>
      <c r="I1" s="1" t="inlineStr">
        <is>
          <t>Suítes</t>
        </is>
      </c>
      <c r="J1" t="inlineStr">
        <is>
          <t>Banheiros</t>
        </is>
      </c>
      <c r="K1" s="1" t="inlineStr">
        <is>
          <t>Vagas</t>
        </is>
      </c>
      <c r="L1" s="1" t="inlineStr">
        <is>
          <t>Preço (R$)</t>
        </is>
      </c>
      <c r="M1" s="1" t="inlineStr">
        <is>
          <t>Observações</t>
        </is>
      </c>
      <c r="N1" s="1" t="inlineStr">
        <is>
          <t>Status</t>
        </is>
      </c>
      <c r="O1" s="12" t="inlineStr">
        <is>
          <t>Data Publicação</t>
        </is>
      </c>
    </row>
    <row r="2">
      <c r="A2" s="2" t="inlineStr">
        <is>
          <t>2026-06-27</t>
        </is>
      </c>
      <c r="B2" s="2" t="inlineStr">
        <is>
          <t>Maringá APTs 🏘️</t>
        </is>
      </c>
      <c r="C2" s="2" t="inlineStr">
        <is>
          <t>Carlos Silva</t>
        </is>
      </c>
      <c r="D2" s="2" t="inlineStr">
        <is>
          <t>554499112233</t>
        </is>
      </c>
      <c r="E2" s="2" t="inlineStr">
        <is>
          <t>Apartamento</t>
        </is>
      </c>
      <c r="F2" s="3" t="inlineStr">
        <is>
          <t>Zona 7</t>
        </is>
      </c>
      <c r="G2" s="2" t="inlineStr">
        <is>
          <t>75</t>
        </is>
      </c>
      <c r="H2" s="2" t="inlineStr">
        <is>
          <t>3</t>
        </is>
      </c>
      <c r="I2" s="2" t="inlineStr">
        <is>
          <t>1</t>
        </is>
      </c>
      <c r="K2" s="2" t="inlineStr">
        <is>
          <t>1</t>
        </is>
      </c>
      <c r="L2" s="2" t="inlineStr">
        <is>
          <t>350000</t>
        </is>
      </c>
      <c r="M2" s="3" t="inlineStr">
        <is>
          <t>Semi-mobiliado, 2 banheiros</t>
        </is>
      </c>
      <c r="N2" s="2" t="inlineStr">
        <is>
          <t>Novo</t>
        </is>
      </c>
    </row>
    <row r="3">
      <c r="A3" s="5" t="inlineStr">
        <is>
          <t>2026-06-28</t>
        </is>
      </c>
      <c r="B3" s="5" t="inlineStr">
        <is>
          <t>INNOVARE</t>
        </is>
      </c>
      <c r="C3" s="5" t="inlineStr">
        <is>
          <t>Fernandes</t>
        </is>
      </c>
      <c r="D3" s="5" t="inlineStr">
        <is>
          <t>5544999737202</t>
        </is>
      </c>
      <c r="E3" s="5" t="inlineStr">
        <is>
          <t>Apartamento</t>
        </is>
      </c>
      <c r="F3" s="7" t="inlineStr">
        <is>
          <t>Av. João Paulino (frente Muffato Gourmet)</t>
        </is>
      </c>
      <c r="G3" s="5" t="inlineStr">
        <is>
          <t>74</t>
        </is>
      </c>
      <c r="H3" s="5" t="inlineStr">
        <is>
          <t>3</t>
        </is>
      </c>
      <c r="I3" s="5" t="inlineStr">
        <is>
          <t>1</t>
        </is>
      </c>
      <c r="K3" s="5" t="inlineStr">
        <is>
          <t>2</t>
        </is>
      </c>
      <c r="L3" s="5" t="inlineStr">
        <is>
          <t>849000</t>
        </is>
      </c>
      <c r="M3" s="7" t="inlineStr">
        <is>
          <t>Gran Portal Residence | 17° andar apto 1704 | Porteira fechada | Todo mobiliado | 2 vagas gaveta | Condomínio ~R.000 | Aceita terreno comercial ou financiamento</t>
        </is>
      </c>
      <c r="N3" s="5" t="inlineStr">
        <is>
          <t>Novo</t>
        </is>
      </c>
    </row>
    <row r="4">
      <c r="A4" s="2" t="inlineStr">
        <is>
          <t>2026-06-28</t>
        </is>
      </c>
      <c r="B4" s="2" t="inlineStr">
        <is>
          <t>INNOVARE</t>
        </is>
      </c>
      <c r="C4" s="2" t="inlineStr">
        <is>
          <t>Nicolas Sodoski COMERCIAL</t>
        </is>
      </c>
      <c r="D4" s="2" t="inlineStr">
        <is>
          <t>5542991253817</t>
        </is>
      </c>
      <c r="E4" s="2" t="inlineStr">
        <is>
          <t>Apartamento</t>
        </is>
      </c>
      <c r="F4" s="3" t="inlineStr">
        <is>
          <t>Maringá</t>
        </is>
      </c>
      <c r="G4" s="2" t="inlineStr">
        <is>
          <t>47</t>
        </is>
      </c>
      <c r="H4" s="2" t="inlineStr">
        <is>
          <t>2</t>
        </is>
      </c>
      <c r="I4" s="2" t="inlineStr">
        <is>
          <t>0</t>
        </is>
      </c>
      <c r="K4" s="2" t="inlineStr">
        <is>
          <t>1</t>
        </is>
      </c>
      <c r="L4" s="2" t="inlineStr">
        <is>
          <t>390000</t>
        </is>
      </c>
      <c r="M4" s="3" t="inlineStr">
        <is>
          <t>Torre DI Pietra | Área total 86,25m² | 17 andares | Área privativa 47,64m²</t>
        </is>
      </c>
      <c r="N4" s="2" t="inlineStr">
        <is>
          <t>Novo</t>
        </is>
      </c>
    </row>
    <row r="5">
      <c r="A5" s="5" t="inlineStr">
        <is>
          <t>2026-06-28</t>
        </is>
      </c>
      <c r="B5" s="5" t="inlineStr">
        <is>
          <t>INNOVARE</t>
        </is>
      </c>
      <c r="C5" s="5" t="inlineStr">
        <is>
          <t>Nicolas Sodoski COMERCIAL</t>
        </is>
      </c>
      <c r="D5" s="5" t="inlineStr">
        <is>
          <t>5542991253817</t>
        </is>
      </c>
      <c r="E5" s="5" t="inlineStr">
        <is>
          <t>Apartamento</t>
        </is>
      </c>
      <c r="F5" s="7" t="inlineStr">
        <is>
          <t>Maringá</t>
        </is>
      </c>
      <c r="G5" s="5" t="inlineStr">
        <is>
          <t>47</t>
        </is>
      </c>
      <c r="H5" s="5" t="inlineStr"/>
      <c r="I5" s="5" t="inlineStr"/>
      <c r="K5" s="5" t="inlineStr">
        <is>
          <t>2</t>
        </is>
      </c>
      <c r="L5" s="5" t="inlineStr">
        <is>
          <t>350000</t>
        </is>
      </c>
      <c r="M5" s="7" t="inlineStr">
        <is>
          <t>SPAZIO MONTERO | Porteira fechada | 8° andar | Vista definitiva | 1 vaga carro + 1 vaga moto</t>
        </is>
      </c>
      <c r="N5" s="5" t="inlineStr">
        <is>
          <t>Novo</t>
        </is>
      </c>
    </row>
    <row r="6">
      <c r="A6" s="2" t="inlineStr">
        <is>
          <t>2026-06-28</t>
        </is>
      </c>
      <c r="B6" s="2" t="inlineStr">
        <is>
          <t>INNOVARE</t>
        </is>
      </c>
      <c r="C6" s="2" t="inlineStr">
        <is>
          <t>Desconhecido</t>
        </is>
      </c>
      <c r="D6" s="2" t="inlineStr"/>
      <c r="E6" s="2" t="inlineStr">
        <is>
          <t>Apartamento</t>
        </is>
      </c>
      <c r="F6" s="3" t="inlineStr">
        <is>
          <t>Maringá</t>
        </is>
      </c>
      <c r="G6" s="2" t="inlineStr"/>
      <c r="H6" s="2" t="inlineStr"/>
      <c r="I6" s="2" t="inlineStr"/>
      <c r="K6" s="2" t="inlineStr"/>
      <c r="L6" s="2" t="inlineStr">
        <is>
          <t>500000</t>
        </is>
      </c>
      <c r="M6" s="3" t="inlineStr">
        <is>
          <t>ROYAL PALACE | Apto 907 Bloco A Frente | Mobiliado e Decorado | Porteira fechada (só tira TV) | Inquilino desocupa out/2026 | Renda R$ 3.000/mês aluguel</t>
        </is>
      </c>
      <c r="N6" s="2" t="inlineStr">
        <is>
          <t>Novo</t>
        </is>
      </c>
    </row>
    <row r="7">
      <c r="A7" s="8" t="inlineStr">
        <is>
          <t>2026-06-28</t>
        </is>
      </c>
      <c r="B7" s="8" t="inlineStr">
        <is>
          <t>juniorjoda.com.br</t>
        </is>
      </c>
      <c r="C7" s="8" t="inlineStr">
        <is>
          <t>Junior Joda Soluções Imobiliárias</t>
        </is>
      </c>
      <c r="D7" s="8" t="inlineStr">
        <is>
          <t>5544988132965</t>
        </is>
      </c>
      <c r="E7" s="8" t="inlineStr">
        <is>
          <t>Apartamento</t>
        </is>
      </c>
      <c r="F7" s="9" t="inlineStr">
        <is>
          <t>Zona 01 Centro · Maringá - PR</t>
        </is>
      </c>
      <c r="G7" s="8" t="n">
        <v>245</v>
      </c>
      <c r="H7" s="8" t="n"/>
      <c r="I7" s="8" t="n"/>
      <c r="K7" s="8" t="n">
        <v>4</v>
      </c>
      <c r="L7" s="8" t="n"/>
      <c r="M7" s="9" t="inlineStr">
        <is>
          <t>Ref.43820000016 | Magnifique | Av. XV de Novembro | Maringá - PR</t>
        </is>
      </c>
      <c r="N7" s="8" t="inlineStr">
        <is>
          <t>Venda</t>
        </is>
      </c>
    </row>
    <row r="8">
      <c r="A8" s="10" t="inlineStr">
        <is>
          <t>2026-06-28</t>
        </is>
      </c>
      <c r="B8" s="10" t="inlineStr">
        <is>
          <t>juniorjoda.com.br</t>
        </is>
      </c>
      <c r="C8" s="10" t="inlineStr">
        <is>
          <t>Junior Joda Soluções Imobiliárias</t>
        </is>
      </c>
      <c r="D8" s="10" t="inlineStr">
        <is>
          <t>5544988132965</t>
        </is>
      </c>
      <c r="E8" s="10" t="inlineStr">
        <is>
          <t>Terreno Comercial</t>
        </is>
      </c>
      <c r="F8" s="11" t="inlineStr">
        <is>
          <t>Jardim Aurora · Maringá - PR</t>
        </is>
      </c>
      <c r="G8" s="10" t="n">
        <v>2080.55</v>
      </c>
      <c r="H8" s="10" t="n"/>
      <c r="I8" s="10" t="n"/>
      <c r="K8" s="10" t="n"/>
      <c r="L8" s="10" t="n"/>
      <c r="M8" s="11" t="inlineStr">
        <is>
          <t>Ref.43820000185 | R. Marcello Emerson Franchini | Maringá - PR</t>
        </is>
      </c>
      <c r="N8" s="10" t="inlineStr">
        <is>
          <t>Venda</t>
        </is>
      </c>
    </row>
    <row r="9">
      <c r="A9" s="8" t="inlineStr">
        <is>
          <t>2026-06-28</t>
        </is>
      </c>
      <c r="B9" s="8" t="inlineStr">
        <is>
          <t>juniorjoda.com.br</t>
        </is>
      </c>
      <c r="C9" s="8" t="inlineStr">
        <is>
          <t>Junior Joda Soluções Imobiliárias</t>
        </is>
      </c>
      <c r="D9" s="8" t="inlineStr">
        <is>
          <t>5544988132965</t>
        </is>
      </c>
      <c r="E9" s="8" t="inlineStr">
        <is>
          <t>Terreno</t>
        </is>
      </c>
      <c r="F9" s="9" t="inlineStr">
        <is>
          <t>Jardim Dias II · Maringá - PR</t>
        </is>
      </c>
      <c r="G9" s="8" t="n">
        <v>150.62</v>
      </c>
      <c r="H9" s="8" t="n"/>
      <c r="I9" s="8" t="n"/>
      <c r="K9" s="8" t="n"/>
      <c r="L9" s="8" t="n">
        <v>195000</v>
      </c>
      <c r="M9" s="9" t="inlineStr">
        <is>
          <t>Ref.43820000006 | R. Domingos Santa Cruz | Maringá - PR</t>
        </is>
      </c>
      <c r="N9" s="8" t="inlineStr">
        <is>
          <t>Venda</t>
        </is>
      </c>
    </row>
    <row r="10">
      <c r="A10" s="10" t="inlineStr">
        <is>
          <t>2026-06-28</t>
        </is>
      </c>
      <c r="B10" s="10" t="inlineStr">
        <is>
          <t>juniorjoda.com.br</t>
        </is>
      </c>
      <c r="C10" s="10" t="inlineStr">
        <is>
          <t>Junior Joda Soluções Imobiliárias</t>
        </is>
      </c>
      <c r="D10" s="10" t="inlineStr">
        <is>
          <t>5544988132965</t>
        </is>
      </c>
      <c r="E10" s="10" t="inlineStr">
        <is>
          <t>Terreno</t>
        </is>
      </c>
      <c r="F10" s="11" t="inlineStr">
        <is>
          <t>Ecovalley Ecologic City · Sarandi - PR</t>
        </is>
      </c>
      <c r="G10" s="10" t="n">
        <v>302.8</v>
      </c>
      <c r="H10" s="10" t="n"/>
      <c r="I10" s="10" t="n"/>
      <c r="K10" s="10" t="n"/>
      <c r="L10" s="10" t="n">
        <v>195000</v>
      </c>
      <c r="M10" s="11" t="inlineStr">
        <is>
          <t>Ref.43820000007 | R. 9351 | Sarandi - PR</t>
        </is>
      </c>
      <c r="N10" s="10" t="inlineStr">
        <is>
          <t>Venda</t>
        </is>
      </c>
    </row>
    <row r="11">
      <c r="A11" s="8" t="inlineStr">
        <is>
          <t>2026-06-28</t>
        </is>
      </c>
      <c r="B11" s="8" t="inlineStr">
        <is>
          <t>juniorjoda.com.br</t>
        </is>
      </c>
      <c r="C11" s="8" t="inlineStr">
        <is>
          <t>Junior Joda Soluções Imobiliárias</t>
        </is>
      </c>
      <c r="D11" s="8" t="inlineStr">
        <is>
          <t>5544988132965</t>
        </is>
      </c>
      <c r="E11" s="8" t="inlineStr">
        <is>
          <t>Sala Comercial</t>
        </is>
      </c>
      <c r="F11" s="9" t="inlineStr">
        <is>
          <t>Zona 06 · Maringá - PR</t>
        </is>
      </c>
      <c r="G11" s="8" t="n">
        <v>39.08</v>
      </c>
      <c r="H11" s="8" t="n"/>
      <c r="I11" s="8" t="n"/>
      <c r="K11" s="8" t="n"/>
      <c r="L11" s="8" t="n">
        <v>195000</v>
      </c>
      <c r="M11" s="9" t="inlineStr">
        <is>
          <t>Ref.43820000029 | R. João Vercesi | Maringá - PR</t>
        </is>
      </c>
      <c r="N11" s="8" t="inlineStr">
        <is>
          <t>Venda</t>
        </is>
      </c>
    </row>
    <row r="12">
      <c r="A12" s="10" t="inlineStr">
        <is>
          <t>2026-06-28</t>
        </is>
      </c>
      <c r="B12" s="10" t="inlineStr">
        <is>
          <t>juniorjoda.com.br</t>
        </is>
      </c>
      <c r="C12" s="10" t="inlineStr">
        <is>
          <t>Junior Joda Soluções Imobiliárias</t>
        </is>
      </c>
      <c r="D12" s="10" t="inlineStr">
        <is>
          <t>5544988132965</t>
        </is>
      </c>
      <c r="E12" s="10" t="inlineStr">
        <is>
          <t>Terreno</t>
        </is>
      </c>
      <c r="F12" s="11" t="inlineStr">
        <is>
          <t>Ecovalley Ecologic City · Sarandi - PR</t>
        </is>
      </c>
      <c r="G12" s="10" t="n">
        <v>302.8</v>
      </c>
      <c r="H12" s="10" t="n"/>
      <c r="I12" s="10" t="n"/>
      <c r="K12" s="10" t="n"/>
      <c r="L12" s="10" t="n">
        <v>195000</v>
      </c>
      <c r="M12" s="11" t="inlineStr">
        <is>
          <t>Ref.43820000074 | R. 9330 | Sarandi - PR</t>
        </is>
      </c>
      <c r="N12" s="10" t="inlineStr">
        <is>
          <t>Venda</t>
        </is>
      </c>
    </row>
    <row r="13">
      <c r="A13" s="8" t="inlineStr">
        <is>
          <t>2026-06-28</t>
        </is>
      </c>
      <c r="B13" s="8" t="inlineStr">
        <is>
          <t>juniorjoda.com.br</t>
        </is>
      </c>
      <c r="C13" s="8" t="inlineStr">
        <is>
          <t>Junior Joda Soluções Imobiliárias</t>
        </is>
      </c>
      <c r="D13" s="8" t="inlineStr">
        <is>
          <t>5544988132965</t>
        </is>
      </c>
      <c r="E13" s="8" t="inlineStr">
        <is>
          <t>Terreno</t>
        </is>
      </c>
      <c r="F13" s="9" t="inlineStr">
        <is>
          <t>Gleba Ribeirão Maringá · Maringá - PR</t>
        </is>
      </c>
      <c r="G13" s="8" t="n">
        <v>1000.49</v>
      </c>
      <c r="H13" s="8" t="n"/>
      <c r="I13" s="8" t="n"/>
      <c r="K13" s="8" t="n"/>
      <c r="L13" s="8" t="n">
        <v>215000</v>
      </c>
      <c r="M13" s="9" t="inlineStr">
        <is>
          <t>Ref.43820000003 | Estrada Ibipitanga | Maringá - PR</t>
        </is>
      </c>
      <c r="N13" s="8" t="inlineStr">
        <is>
          <t>Venda</t>
        </is>
      </c>
    </row>
    <row r="14">
      <c r="A14" s="10" t="inlineStr">
        <is>
          <t>2026-06-28</t>
        </is>
      </c>
      <c r="B14" s="10" t="inlineStr">
        <is>
          <t>juniorjoda.com.br</t>
        </is>
      </c>
      <c r="C14" s="10" t="inlineStr">
        <is>
          <t>Junior Joda Soluções Imobiliárias</t>
        </is>
      </c>
      <c r="D14" s="10" t="inlineStr">
        <is>
          <t>5544988132965</t>
        </is>
      </c>
      <c r="E14" s="10" t="inlineStr">
        <is>
          <t>Casa</t>
        </is>
      </c>
      <c r="F14" s="11" t="inlineStr">
        <is>
          <t>Loteamento Madrid · Maringá - PR</t>
        </is>
      </c>
      <c r="G14" s="10" t="n">
        <v>90.38</v>
      </c>
      <c r="H14" s="10" t="n">
        <v>2</v>
      </c>
      <c r="I14" s="10" t="n">
        <v>1</v>
      </c>
      <c r="K14" s="10" t="n">
        <v>2</v>
      </c>
      <c r="L14" s="10" t="n">
        <v>330000</v>
      </c>
      <c r="M14" s="11" t="inlineStr">
        <is>
          <t>Ref.43820000173 | R. Pioneiro Paschoal Locatelli | Maringá - PR</t>
        </is>
      </c>
      <c r="N14" s="10" t="inlineStr">
        <is>
          <t>Venda</t>
        </is>
      </c>
    </row>
    <row r="15">
      <c r="A15" s="8" t="inlineStr">
        <is>
          <t>2026-06-28</t>
        </is>
      </c>
      <c r="B15" s="8" t="inlineStr">
        <is>
          <t>juniorjoda.com.br</t>
        </is>
      </c>
      <c r="C15" s="8" t="inlineStr">
        <is>
          <t>Junior Joda Soluções Imobiliárias</t>
        </is>
      </c>
      <c r="D15" s="8" t="inlineStr">
        <is>
          <t>5544988132965</t>
        </is>
      </c>
      <c r="E15" s="8" t="inlineStr">
        <is>
          <t>Casa</t>
        </is>
      </c>
      <c r="F15" s="9" t="inlineStr">
        <is>
          <t>Parque Avenida · Maringá - PR</t>
        </is>
      </c>
      <c r="G15" s="8" t="n">
        <v>187</v>
      </c>
      <c r="H15" s="8" t="n">
        <v>3</v>
      </c>
      <c r="I15" s="8" t="n"/>
      <c r="K15" s="8" t="n">
        <v>4</v>
      </c>
      <c r="L15" s="8" t="n">
        <v>350000</v>
      </c>
      <c r="M15" s="9" t="inlineStr">
        <is>
          <t>Ref.43820000160 | R. Allan Kardec | Maringá - PR</t>
        </is>
      </c>
      <c r="N15" s="8" t="inlineStr">
        <is>
          <t>Venda</t>
        </is>
      </c>
    </row>
    <row r="16">
      <c r="A16" s="10" t="inlineStr">
        <is>
          <t>2026-06-28</t>
        </is>
      </c>
      <c r="B16" s="10" t="inlineStr">
        <is>
          <t>juniorjoda.com.br</t>
        </is>
      </c>
      <c r="C16" s="10" t="inlineStr">
        <is>
          <t>Junior Joda Soluções Imobiliárias</t>
        </is>
      </c>
      <c r="D16" s="10" t="inlineStr">
        <is>
          <t>5544988132965</t>
        </is>
      </c>
      <c r="E16" s="10" t="inlineStr">
        <is>
          <t>Apartamento</t>
        </is>
      </c>
      <c r="F16" s="11" t="inlineStr">
        <is>
          <t>Zona 07 · Maringá - PR</t>
        </is>
      </c>
      <c r="G16" s="10" t="n">
        <v>55</v>
      </c>
      <c r="H16" s="10" t="n">
        <v>2</v>
      </c>
      <c r="I16" s="10" t="n"/>
      <c r="K16" s="10" t="n">
        <v>1</v>
      </c>
      <c r="L16" s="10" t="n">
        <v>360000</v>
      </c>
      <c r="M16" s="11" t="inlineStr">
        <is>
          <t>Ref.43820000152 | Rouget Village | R. Jangada | Maringá - PR</t>
        </is>
      </c>
      <c r="N16" s="10" t="inlineStr">
        <is>
          <t>Venda</t>
        </is>
      </c>
    </row>
    <row r="17">
      <c r="A17" s="8" t="inlineStr">
        <is>
          <t>2026-06-28</t>
        </is>
      </c>
      <c r="B17" s="8" t="inlineStr">
        <is>
          <t>juniorjoda.com.br</t>
        </is>
      </c>
      <c r="C17" s="8" t="inlineStr">
        <is>
          <t>Junior Joda Soluções Imobiliárias</t>
        </is>
      </c>
      <c r="D17" s="8" t="inlineStr">
        <is>
          <t>5544988132965</t>
        </is>
      </c>
      <c r="E17" s="8" t="inlineStr">
        <is>
          <t>Chácara em Área de Lazer</t>
        </is>
      </c>
      <c r="F17" s="9" t="inlineStr">
        <is>
          <t>Jardim São Paulo II · Sarandi - PR</t>
        </is>
      </c>
      <c r="G17" s="8" t="n"/>
      <c r="H17" s="8" t="n"/>
      <c r="I17" s="8" t="n"/>
      <c r="K17" s="8" t="n"/>
      <c r="L17" s="8" t="n">
        <v>420000</v>
      </c>
      <c r="M17" s="9" t="inlineStr">
        <is>
          <t>Ref.43820000133 | R. Projetada M | Sarandi - PR</t>
        </is>
      </c>
      <c r="N17" s="8" t="inlineStr">
        <is>
          <t>Venda</t>
        </is>
      </c>
    </row>
    <row r="18">
      <c r="A18" s="10" t="inlineStr">
        <is>
          <t>2026-06-28</t>
        </is>
      </c>
      <c r="B18" s="10" t="inlineStr">
        <is>
          <t>juniorjoda.com.br</t>
        </is>
      </c>
      <c r="C18" s="10" t="inlineStr">
        <is>
          <t>Junior Joda Soluções Imobiliárias</t>
        </is>
      </c>
      <c r="D18" s="10" t="inlineStr">
        <is>
          <t>5544988132965</t>
        </is>
      </c>
      <c r="E18" s="10" t="inlineStr">
        <is>
          <t>Terreno</t>
        </is>
      </c>
      <c r="F18" s="11" t="inlineStr">
        <is>
          <t>Jardim São Basilio · Maringá - PR</t>
        </is>
      </c>
      <c r="G18" s="10" t="n">
        <v>648.8</v>
      </c>
      <c r="H18" s="10" t="n"/>
      <c r="I18" s="10" t="n"/>
      <c r="K18" s="10" t="n"/>
      <c r="L18" s="10" t="n">
        <v>440000</v>
      </c>
      <c r="M18" s="11" t="inlineStr">
        <is>
          <t>Ref.43820000067 | R. Tranquilo Morgon | Maringá - PR</t>
        </is>
      </c>
      <c r="N18" s="10" t="inlineStr">
        <is>
          <t>Venda</t>
        </is>
      </c>
    </row>
    <row r="19">
      <c r="A19" s="8" t="inlineStr">
        <is>
          <t>2026-06-28</t>
        </is>
      </c>
      <c r="B19" s="8" t="inlineStr">
        <is>
          <t>juniorjoda.com.br</t>
        </is>
      </c>
      <c r="C19" s="8" t="inlineStr">
        <is>
          <t>Junior Joda Soluções Imobiliárias</t>
        </is>
      </c>
      <c r="D19" s="8" t="inlineStr">
        <is>
          <t>5544988132965</t>
        </is>
      </c>
      <c r="E19" s="8" t="inlineStr">
        <is>
          <t>Terreno em Condomínio</t>
        </is>
      </c>
      <c r="F19" s="9" t="inlineStr">
        <is>
          <t>Iguaraçu · Iguaraçu - PR</t>
        </is>
      </c>
      <c r="G19" s="8" t="n">
        <v>455.53</v>
      </c>
      <c r="H19" s="8" t="n"/>
      <c r="I19" s="8" t="n"/>
      <c r="K19" s="8" t="n"/>
      <c r="L19" s="8" t="n">
        <v>480000</v>
      </c>
      <c r="M19" s="9" t="inlineStr">
        <is>
          <t>Ref.43820000220 | Alphaville | Rodovia PR317 Km 15 | Iguaraçu - PR</t>
        </is>
      </c>
      <c r="N19" s="8" t="inlineStr">
        <is>
          <t>Venda</t>
        </is>
      </c>
    </row>
    <row r="20">
      <c r="A20" s="10" t="inlineStr">
        <is>
          <t>2026-06-28</t>
        </is>
      </c>
      <c r="B20" s="10" t="inlineStr">
        <is>
          <t>juniorjoda.com.br</t>
        </is>
      </c>
      <c r="C20" s="10" t="inlineStr">
        <is>
          <t>Junior Joda Soluções Imobiliárias</t>
        </is>
      </c>
      <c r="D20" s="10" t="inlineStr">
        <is>
          <t>5544988132965</t>
        </is>
      </c>
      <c r="E20" s="10" t="inlineStr">
        <is>
          <t>Apartamento</t>
        </is>
      </c>
      <c r="F20" s="11" t="inlineStr">
        <is>
          <t>Jardim Aclimação · Maringá - PR</t>
        </is>
      </c>
      <c r="G20" s="10" t="n">
        <v>84</v>
      </c>
      <c r="H20" s="10" t="n">
        <v>2</v>
      </c>
      <c r="I20" s="10" t="n">
        <v>1</v>
      </c>
      <c r="K20" s="10" t="n">
        <v>1</v>
      </c>
      <c r="L20" s="10" t="n">
        <v>520000</v>
      </c>
      <c r="M20" s="11" t="inlineStr">
        <is>
          <t>Ref.43820000199 | Portal de Elyon | Av. Dr. Gastão Vidigal | Maringá - PR</t>
        </is>
      </c>
      <c r="N20" s="10" t="inlineStr">
        <is>
          <t>Venda</t>
        </is>
      </c>
    </row>
    <row r="21">
      <c r="A21" s="8" t="inlineStr">
        <is>
          <t>2026-06-28</t>
        </is>
      </c>
      <c r="B21" s="8" t="inlineStr">
        <is>
          <t>juniorjoda.com.br</t>
        </is>
      </c>
      <c r="C21" s="8" t="inlineStr">
        <is>
          <t>Junior Joda Soluções Imobiliárias</t>
        </is>
      </c>
      <c r="D21" s="8" t="inlineStr">
        <is>
          <t>5544988132965</t>
        </is>
      </c>
      <c r="E21" s="8" t="inlineStr">
        <is>
          <t>Terreno</t>
        </is>
      </c>
      <c r="F21" s="9" t="inlineStr">
        <is>
          <t>Zona 04 · Maringá - PR</t>
        </is>
      </c>
      <c r="G21" s="8" t="n">
        <v>372.42</v>
      </c>
      <c r="H21" s="8" t="n"/>
      <c r="I21" s="8" t="n"/>
      <c r="K21" s="8" t="n"/>
      <c r="L21" s="8" t="n">
        <v>530000</v>
      </c>
      <c r="M21" s="9" t="inlineStr">
        <is>
          <t>Ref.43820000143 | R. Cerqueira Cézar | Maringá - PR</t>
        </is>
      </c>
      <c r="N21" s="8" t="inlineStr">
        <is>
          <t>Venda</t>
        </is>
      </c>
    </row>
    <row r="22">
      <c r="A22" s="10" t="inlineStr">
        <is>
          <t>2026-06-28</t>
        </is>
      </c>
      <c r="B22" s="10" t="inlineStr">
        <is>
          <t>juniorjoda.com.br</t>
        </is>
      </c>
      <c r="C22" s="10" t="inlineStr">
        <is>
          <t>Junior Joda Soluções Imobiliárias</t>
        </is>
      </c>
      <c r="D22" s="10" t="inlineStr">
        <is>
          <t>5544988132965</t>
        </is>
      </c>
      <c r="E22" s="10" t="inlineStr">
        <is>
          <t>Casa</t>
        </is>
      </c>
      <c r="F22" s="11" t="inlineStr">
        <is>
          <t>Jardim Pinheiros · Maringá - PR</t>
        </is>
      </c>
      <c r="G22" s="10" t="n">
        <v>98.8</v>
      </c>
      <c r="H22" s="10" t="n">
        <v>2</v>
      </c>
      <c r="I22" s="10" t="n">
        <v>1</v>
      </c>
      <c r="K22" s="10" t="n">
        <v>2</v>
      </c>
      <c r="L22" s="10" t="n">
        <v>550000</v>
      </c>
      <c r="M22" s="11" t="inlineStr">
        <is>
          <t>Ref.43820000142 | R. Sequóia | Maringá - PR</t>
        </is>
      </c>
      <c r="N22" s="10" t="inlineStr">
        <is>
          <t>Venda</t>
        </is>
      </c>
    </row>
    <row r="23">
      <c r="A23" s="8" t="inlineStr">
        <is>
          <t>2026-06-28</t>
        </is>
      </c>
      <c r="B23" s="8" t="inlineStr">
        <is>
          <t>juniorjoda.com.br</t>
        </is>
      </c>
      <c r="C23" s="8" t="inlineStr">
        <is>
          <t>Junior Joda Soluções Imobiliárias</t>
        </is>
      </c>
      <c r="D23" s="8" t="inlineStr">
        <is>
          <t>5544988132965</t>
        </is>
      </c>
      <c r="E23" s="8" t="inlineStr">
        <is>
          <t>Apartamento</t>
        </is>
      </c>
      <c r="F23" s="9" t="inlineStr">
        <is>
          <t>Jardim Cerro Azul · Maringá - PR</t>
        </is>
      </c>
      <c r="G23" s="8" t="n">
        <v>83.03</v>
      </c>
      <c r="H23" s="8" t="n">
        <v>2</v>
      </c>
      <c r="I23" s="8" t="n">
        <v>1</v>
      </c>
      <c r="K23" s="8" t="n">
        <v>2</v>
      </c>
      <c r="L23" s="8" t="n">
        <v>580000</v>
      </c>
      <c r="M23" s="9" t="inlineStr">
        <is>
          <t>Ref.43820000154 | Residencial Magnanti | R. Pioneiro Waldemar Lingiardi | Maringá - PR</t>
        </is>
      </c>
      <c r="N23" s="8" t="inlineStr">
        <is>
          <t>Venda</t>
        </is>
      </c>
    </row>
    <row r="24">
      <c r="A24" s="10" t="inlineStr">
        <is>
          <t>2026-06-28</t>
        </is>
      </c>
      <c r="B24" s="10" t="inlineStr">
        <is>
          <t>juniorjoda.com.br</t>
        </is>
      </c>
      <c r="C24" s="10" t="inlineStr">
        <is>
          <t>Junior Joda Soluções Imobiliárias</t>
        </is>
      </c>
      <c r="D24" s="10" t="inlineStr">
        <is>
          <t>5544988132965</t>
        </is>
      </c>
      <c r="E24" s="10" t="inlineStr">
        <is>
          <t>Terreno em Condomínio</t>
        </is>
      </c>
      <c r="F24" s="11" t="inlineStr">
        <is>
          <t>Iguaraçu · Iguaraçu - PR</t>
        </is>
      </c>
      <c r="G24" s="10" t="n">
        <v>600.3099999999999</v>
      </c>
      <c r="H24" s="10" t="n"/>
      <c r="I24" s="10" t="n"/>
      <c r="K24" s="10" t="n"/>
      <c r="L24" s="10" t="n">
        <v>600000</v>
      </c>
      <c r="M24" s="11" t="inlineStr">
        <is>
          <t>Ref.43820000219 | Alphaville | Rodovia PR317 Km 15 | Iguaraçu - PR</t>
        </is>
      </c>
      <c r="N24" s="10" t="inlineStr">
        <is>
          <t>Venda</t>
        </is>
      </c>
    </row>
    <row r="25">
      <c r="A25" s="8" t="inlineStr">
        <is>
          <t>2026-06-28</t>
        </is>
      </c>
      <c r="B25" s="8" t="inlineStr">
        <is>
          <t>juniorjoda.com.br</t>
        </is>
      </c>
      <c r="C25" s="8" t="inlineStr">
        <is>
          <t>Junior Joda Soluções Imobiliárias</t>
        </is>
      </c>
      <c r="D25" s="8" t="inlineStr">
        <is>
          <t>5544988132965</t>
        </is>
      </c>
      <c r="E25" s="8" t="inlineStr">
        <is>
          <t>Terreno em Condomínio</t>
        </is>
      </c>
      <c r="F25" s="9" t="inlineStr">
        <is>
          <t>Iguaraçu · Iguaraçu - PR</t>
        </is>
      </c>
      <c r="G25" s="8" t="n">
        <v>623.9400000000001</v>
      </c>
      <c r="H25" s="8" t="n"/>
      <c r="I25" s="8" t="n"/>
      <c r="K25" s="8" t="n"/>
      <c r="L25" s="8" t="n">
        <v>625000</v>
      </c>
      <c r="M25" s="9" t="inlineStr">
        <is>
          <t>Ref.43820000215 | Alphaville | Rodovia PR317 Km 15 | Iguaraçu - PR</t>
        </is>
      </c>
      <c r="N25" s="8" t="inlineStr">
        <is>
          <t>Venda</t>
        </is>
      </c>
    </row>
    <row r="26">
      <c r="A26" s="10" t="inlineStr">
        <is>
          <t>2026-06-28</t>
        </is>
      </c>
      <c r="B26" s="10" t="inlineStr">
        <is>
          <t>juniorjoda.com.br</t>
        </is>
      </c>
      <c r="C26" s="10" t="inlineStr">
        <is>
          <t>Junior Joda Soluções Imobiliárias</t>
        </is>
      </c>
      <c r="D26" s="10" t="inlineStr">
        <is>
          <t>5544988132965</t>
        </is>
      </c>
      <c r="E26" s="10" t="inlineStr">
        <is>
          <t>Apartamento Kitnet</t>
        </is>
      </c>
      <c r="F26" s="11" t="inlineStr">
        <is>
          <t>Jardim Aclimação · Maringá - PR</t>
        </is>
      </c>
      <c r="G26" s="10" t="n"/>
      <c r="H26" s="10" t="n"/>
      <c r="I26" s="10" t="n"/>
      <c r="K26" s="10" t="n"/>
      <c r="L26" s="10" t="n">
        <v>639500</v>
      </c>
      <c r="M26" s="11" t="inlineStr">
        <is>
          <t>Ref.43820000205 | Out Smart Living | Av. Senador Petrônio Portela | Maringá - PR</t>
        </is>
      </c>
      <c r="N26" s="10" t="inlineStr">
        <is>
          <t>Venda</t>
        </is>
      </c>
    </row>
    <row r="27">
      <c r="A27" s="8" t="inlineStr">
        <is>
          <t>2026-06-28</t>
        </is>
      </c>
      <c r="B27" s="8" t="inlineStr">
        <is>
          <t>juniorjoda.com.br</t>
        </is>
      </c>
      <c r="C27" s="8" t="inlineStr">
        <is>
          <t>Junior Joda Soluções Imobiliárias</t>
        </is>
      </c>
      <c r="D27" s="8" t="inlineStr">
        <is>
          <t>5544988132965</t>
        </is>
      </c>
      <c r="E27" s="8" t="inlineStr">
        <is>
          <t>Terreno Comercial</t>
        </is>
      </c>
      <c r="F27" s="9" t="inlineStr">
        <is>
          <t>Parque Industrial Alicante · Londrina - PR</t>
        </is>
      </c>
      <c r="G27" s="8" t="n"/>
      <c r="H27" s="8" t="n"/>
      <c r="I27" s="8" t="n"/>
      <c r="K27" s="8" t="n"/>
      <c r="L27" s="8" t="n">
        <v>650000</v>
      </c>
      <c r="M27" s="9" t="inlineStr">
        <is>
          <t>Ref.43820000213 | Rodovia Carlos João Strass | Londrina - PR</t>
        </is>
      </c>
      <c r="N27" s="8" t="inlineStr">
        <is>
          <t>Venda</t>
        </is>
      </c>
    </row>
    <row r="28">
      <c r="A28" s="10" t="inlineStr">
        <is>
          <t>2026-06-28</t>
        </is>
      </c>
      <c r="B28" s="10" t="inlineStr">
        <is>
          <t>juniorjoda.com.br</t>
        </is>
      </c>
      <c r="C28" s="10" t="inlineStr">
        <is>
          <t>Junior Joda Soluções Imobiliárias</t>
        </is>
      </c>
      <c r="D28" s="10" t="inlineStr">
        <is>
          <t>5544988132965</t>
        </is>
      </c>
      <c r="E28" s="10" t="inlineStr">
        <is>
          <t>Casa</t>
        </is>
      </c>
      <c r="F28" s="11" t="inlineStr">
        <is>
          <t>Bom Jardim · Maringá - PR</t>
        </is>
      </c>
      <c r="G28" s="10" t="n">
        <v>136.7</v>
      </c>
      <c r="H28" s="10" t="n">
        <v>2</v>
      </c>
      <c r="I28" s="10" t="n">
        <v>1</v>
      </c>
      <c r="K28" s="10" t="n">
        <v>3</v>
      </c>
      <c r="L28" s="10" t="n">
        <v>660000</v>
      </c>
      <c r="M28" s="11" t="inlineStr">
        <is>
          <t>Ref.43820000158 | R. Antônio Rigoldi | Maringá - PR</t>
        </is>
      </c>
      <c r="N28" s="10" t="inlineStr">
        <is>
          <t>Venda</t>
        </is>
      </c>
    </row>
    <row r="29">
      <c r="A29" s="8" t="inlineStr">
        <is>
          <t>2026-06-28</t>
        </is>
      </c>
      <c r="B29" s="8" t="inlineStr">
        <is>
          <t>juniorjoda.com.br</t>
        </is>
      </c>
      <c r="C29" s="8" t="inlineStr">
        <is>
          <t>Junior Joda Soluções Imobiliárias</t>
        </is>
      </c>
      <c r="D29" s="8" t="inlineStr">
        <is>
          <t>5544988132965</t>
        </is>
      </c>
      <c r="E29" s="8" t="inlineStr">
        <is>
          <t>Terreno em Condomínio</t>
        </is>
      </c>
      <c r="F29" s="9" t="inlineStr">
        <is>
          <t>Iguaraçu · Iguaraçu - PR</t>
        </is>
      </c>
      <c r="G29" s="8" t="n">
        <v>508.22</v>
      </c>
      <c r="H29" s="8" t="n"/>
      <c r="I29" s="8" t="n"/>
      <c r="K29" s="8" t="n"/>
      <c r="L29" s="8" t="n">
        <v>700000</v>
      </c>
      <c r="M29" s="9" t="inlineStr">
        <is>
          <t>Ref.43820000216 | Alphaville | Rodovia PR317 Km 15 | Iguaraçu - PR</t>
        </is>
      </c>
      <c r="N29" s="8" t="inlineStr">
        <is>
          <t>Venda</t>
        </is>
      </c>
    </row>
    <row r="30">
      <c r="A30" s="10" t="inlineStr">
        <is>
          <t>2026-06-28</t>
        </is>
      </c>
      <c r="B30" s="10" t="inlineStr">
        <is>
          <t>juniorjoda.com.br</t>
        </is>
      </c>
      <c r="C30" s="10" t="inlineStr">
        <is>
          <t>Junior Joda Soluções Imobiliárias</t>
        </is>
      </c>
      <c r="D30" s="10" t="inlineStr">
        <is>
          <t>5544988132965</t>
        </is>
      </c>
      <c r="E30" s="10" t="inlineStr">
        <is>
          <t>Apartamento</t>
        </is>
      </c>
      <c r="F30" s="11" t="inlineStr">
        <is>
          <t>Zona 01 Centro · Maringá - PR</t>
        </is>
      </c>
      <c r="G30" s="10" t="n">
        <v>90</v>
      </c>
      <c r="H30" s="10" t="n">
        <v>2</v>
      </c>
      <c r="I30" s="10" t="n">
        <v>1</v>
      </c>
      <c r="K30" s="10" t="n">
        <v>2</v>
      </c>
      <c r="L30" s="10" t="n">
        <v>710000</v>
      </c>
      <c r="M30" s="11" t="inlineStr">
        <is>
          <t>Ref.43820000042 | Santa Helena | R. Piratininga | Maringá - PR</t>
        </is>
      </c>
      <c r="N30" s="10" t="inlineStr">
        <is>
          <t>Venda</t>
        </is>
      </c>
    </row>
    <row r="31">
      <c r="A31" s="8" t="inlineStr">
        <is>
          <t>2026-06-28</t>
        </is>
      </c>
      <c r="B31" s="8" t="inlineStr">
        <is>
          <t>juniorjoda.com.br</t>
        </is>
      </c>
      <c r="C31" s="8" t="inlineStr">
        <is>
          <t>Junior Joda Soluções Imobiliárias</t>
        </is>
      </c>
      <c r="D31" s="8" t="inlineStr">
        <is>
          <t>5544988132965</t>
        </is>
      </c>
      <c r="E31" s="8" t="inlineStr">
        <is>
          <t>Apartamento</t>
        </is>
      </c>
      <c r="F31" s="9" t="inlineStr">
        <is>
          <t>Loteamento Malbec · Maringá - PR</t>
        </is>
      </c>
      <c r="G31" s="8" t="n">
        <v>98</v>
      </c>
      <c r="H31" s="8" t="n">
        <v>2</v>
      </c>
      <c r="I31" s="8" t="n">
        <v>1</v>
      </c>
      <c r="K31" s="8" t="n">
        <v>2</v>
      </c>
      <c r="L31" s="8" t="n">
        <v>830000</v>
      </c>
      <c r="M31" s="9" t="inlineStr">
        <is>
          <t>Ref.43820000183 | Torre Kadosh | R. Nardina Rodrigues Johansen | Maringá - PR</t>
        </is>
      </c>
      <c r="N31" s="8" t="inlineStr">
        <is>
          <t>Venda</t>
        </is>
      </c>
    </row>
    <row r="32">
      <c r="A32" s="10" t="inlineStr">
        <is>
          <t>2026-06-28</t>
        </is>
      </c>
      <c r="B32" s="10" t="inlineStr">
        <is>
          <t>juniorjoda.com.br</t>
        </is>
      </c>
      <c r="C32" s="10" t="inlineStr">
        <is>
          <t>Junior Joda Soluções Imobiliárias</t>
        </is>
      </c>
      <c r="D32" s="10" t="inlineStr">
        <is>
          <t>5544988132965</t>
        </is>
      </c>
      <c r="E32" s="10" t="inlineStr">
        <is>
          <t>Terreno Comercial</t>
        </is>
      </c>
      <c r="F32" s="11" t="inlineStr">
        <is>
          <t>Jardim Universo · Maringá - PR</t>
        </is>
      </c>
      <c r="G32" s="10" t="n">
        <v>804</v>
      </c>
      <c r="H32" s="10" t="n"/>
      <c r="I32" s="10" t="n"/>
      <c r="K32" s="10" t="n"/>
      <c r="L32" s="10" t="n">
        <v>850000</v>
      </c>
      <c r="M32" s="11" t="inlineStr">
        <is>
          <t>Ref.43820000005 | Av. Joaquim Duarte Moleirinho | Maringá - PR</t>
        </is>
      </c>
      <c r="N32" s="10" t="inlineStr">
        <is>
          <t>Venda</t>
        </is>
      </c>
    </row>
    <row r="33">
      <c r="A33" s="8" t="inlineStr">
        <is>
          <t>2026-06-28</t>
        </is>
      </c>
      <c r="B33" s="8" t="inlineStr">
        <is>
          <t>juniorjoda.com.br</t>
        </is>
      </c>
      <c r="C33" s="8" t="inlineStr">
        <is>
          <t>Junior Joda Soluções Imobiliárias</t>
        </is>
      </c>
      <c r="D33" s="8" t="inlineStr">
        <is>
          <t>5544988132965</t>
        </is>
      </c>
      <c r="E33" s="8" t="inlineStr">
        <is>
          <t>Apartamento</t>
        </is>
      </c>
      <c r="F33" s="9" t="inlineStr">
        <is>
          <t>Zona 03 · Maringá - PR</t>
        </is>
      </c>
      <c r="G33" s="8" t="n">
        <v>78.53</v>
      </c>
      <c r="H33" s="8" t="n">
        <v>2</v>
      </c>
      <c r="I33" s="8" t="n">
        <v>1</v>
      </c>
      <c r="K33" s="8" t="n">
        <v>2</v>
      </c>
      <c r="L33" s="8" t="n">
        <v>850000</v>
      </c>
      <c r="M33" s="9" t="inlineStr">
        <is>
          <t>Ref.43820000072 | Maison Florence | R. Neo Alves Martins | Maringá - PR</t>
        </is>
      </c>
      <c r="N33" s="8" t="inlineStr">
        <is>
          <t>Venda</t>
        </is>
      </c>
    </row>
    <row r="34">
      <c r="A34" s="10" t="inlineStr">
        <is>
          <t>2026-06-28</t>
        </is>
      </c>
      <c r="B34" s="10" t="inlineStr">
        <is>
          <t>juniorjoda.com.br</t>
        </is>
      </c>
      <c r="C34" s="10" t="inlineStr">
        <is>
          <t>Junior Joda Soluções Imobiliárias</t>
        </is>
      </c>
      <c r="D34" s="10" t="inlineStr">
        <is>
          <t>5544988132965</t>
        </is>
      </c>
      <c r="E34" s="10" t="inlineStr">
        <is>
          <t>Apartamento</t>
        </is>
      </c>
      <c r="F34" s="11" t="inlineStr">
        <is>
          <t>Zona 01 Centro · Maringá - PR</t>
        </is>
      </c>
      <c r="G34" s="10" t="n">
        <v>104.45</v>
      </c>
      <c r="H34" s="10" t="n">
        <v>2</v>
      </c>
      <c r="I34" s="10" t="n">
        <v>1</v>
      </c>
      <c r="K34" s="10" t="n">
        <v>2</v>
      </c>
      <c r="L34" s="10" t="n">
        <v>850000</v>
      </c>
      <c r="M34" s="11" t="inlineStr">
        <is>
          <t>Ref.43820000106 | Monte Sinai | Av. João Paulino Vieira Filho | Maringá - PR</t>
        </is>
      </c>
      <c r="N34" s="10" t="inlineStr">
        <is>
          <t>Venda</t>
        </is>
      </c>
    </row>
    <row r="35">
      <c r="A35" s="8" t="inlineStr">
        <is>
          <t>2026-06-28</t>
        </is>
      </c>
      <c r="B35" s="8" t="inlineStr">
        <is>
          <t>juniorjoda.com.br</t>
        </is>
      </c>
      <c r="C35" s="8" t="inlineStr">
        <is>
          <t>Junior Joda Soluções Imobiliárias</t>
        </is>
      </c>
      <c r="D35" s="8" t="inlineStr">
        <is>
          <t>5544988132965</t>
        </is>
      </c>
      <c r="E35" s="8" t="inlineStr">
        <is>
          <t>Apartamento</t>
        </is>
      </c>
      <c r="F35" s="9" t="inlineStr">
        <is>
          <t>Zona 03 · Maringá - PR</t>
        </is>
      </c>
      <c r="G35" s="8" t="n">
        <v>78.53</v>
      </c>
      <c r="H35" s="8" t="n">
        <v>2</v>
      </c>
      <c r="I35" s="8" t="n">
        <v>1</v>
      </c>
      <c r="K35" s="8" t="n">
        <v>2</v>
      </c>
      <c r="L35" s="8" t="n">
        <v>890000</v>
      </c>
      <c r="M35" s="9" t="inlineStr">
        <is>
          <t>Ref.43820000088 | Maison Florence | R. Neo Alves Martins | Maringá - PR</t>
        </is>
      </c>
      <c r="N35" s="8" t="inlineStr">
        <is>
          <t>Venda</t>
        </is>
      </c>
    </row>
    <row r="36">
      <c r="A36" s="10" t="inlineStr">
        <is>
          <t>2026-06-28</t>
        </is>
      </c>
      <c r="B36" s="10" t="inlineStr">
        <is>
          <t>juniorjoda.com.br</t>
        </is>
      </c>
      <c r="C36" s="10" t="inlineStr">
        <is>
          <t>Junior Joda Soluções Imobiliárias</t>
        </is>
      </c>
      <c r="D36" s="10" t="inlineStr">
        <is>
          <t>5544988132965</t>
        </is>
      </c>
      <c r="E36" s="10" t="inlineStr">
        <is>
          <t>Sobrado</t>
        </is>
      </c>
      <c r="F36" s="11" t="inlineStr">
        <is>
          <t>Jardim Higienópolis · Maringá - PR</t>
        </is>
      </c>
      <c r="G36" s="10" t="n">
        <v>145.73</v>
      </c>
      <c r="H36" s="10" t="n">
        <v>2</v>
      </c>
      <c r="I36" s="10" t="n">
        <v>1</v>
      </c>
      <c r="K36" s="10" t="n">
        <v>2</v>
      </c>
      <c r="L36" s="10" t="n">
        <v>930000</v>
      </c>
      <c r="M36" s="11" t="inlineStr">
        <is>
          <t>Ref.43820000187 | R. Rosacruz | Maringá - PR</t>
        </is>
      </c>
      <c r="N36" s="10" t="inlineStr">
        <is>
          <t>Venda</t>
        </is>
      </c>
    </row>
    <row r="37">
      <c r="A37" s="8" t="inlineStr">
        <is>
          <t>2026-06-28</t>
        </is>
      </c>
      <c r="B37" s="8" t="inlineStr">
        <is>
          <t>juniorjoda.com.br</t>
        </is>
      </c>
      <c r="C37" s="8" t="inlineStr">
        <is>
          <t>Junior Joda Soluções Imobiliárias</t>
        </is>
      </c>
      <c r="D37" s="8" t="inlineStr">
        <is>
          <t>5544988132965</t>
        </is>
      </c>
      <c r="E37" s="8" t="inlineStr">
        <is>
          <t>Apartamento</t>
        </is>
      </c>
      <c r="F37" s="9" t="inlineStr">
        <is>
          <t>Jardim Aclimação · Maringá - PR</t>
        </is>
      </c>
      <c r="G37" s="8" t="n">
        <v>106</v>
      </c>
      <c r="H37" s="8" t="n">
        <v>2</v>
      </c>
      <c r="I37" s="8" t="n">
        <v>1</v>
      </c>
      <c r="K37" s="8" t="n">
        <v>2</v>
      </c>
      <c r="L37" s="8" t="n">
        <v>940000</v>
      </c>
      <c r="M37" s="9" t="inlineStr">
        <is>
          <t>Ref.43820000211 | Torre de Elohim | Av. Dr. Gastão Vidigal | Maringá - PR</t>
        </is>
      </c>
      <c r="N37" s="8" t="inlineStr">
        <is>
          <t>Venda</t>
        </is>
      </c>
    </row>
    <row r="38">
      <c r="A38" s="10" t="inlineStr">
        <is>
          <t>2026-06-28</t>
        </is>
      </c>
      <c r="B38" s="10" t="inlineStr">
        <is>
          <t>juniorjoda.com.br</t>
        </is>
      </c>
      <c r="C38" s="10" t="inlineStr">
        <is>
          <t>Junior Joda Soluções Imobiliárias</t>
        </is>
      </c>
      <c r="D38" s="10" t="inlineStr">
        <is>
          <t>5544988132965</t>
        </is>
      </c>
      <c r="E38" s="10" t="inlineStr">
        <is>
          <t>Apartamento</t>
        </is>
      </c>
      <c r="F38" s="11" t="inlineStr">
        <is>
          <t>Zona 07 · Maringá - PR</t>
        </is>
      </c>
      <c r="G38" s="10" t="n">
        <v>1.03</v>
      </c>
      <c r="H38" s="10" t="n"/>
      <c r="I38" s="10" t="n"/>
      <c r="K38" s="10" t="n"/>
      <c r="L38" s="10" t="n">
        <v>1296080</v>
      </c>
      <c r="M38" s="11" t="inlineStr">
        <is>
          <t>Ref.43820000206 | Square | R. Marechal Deodoro | Maringá - PR</t>
        </is>
      </c>
      <c r="N38" s="10" t="inlineStr">
        <is>
          <t>Venda</t>
        </is>
      </c>
    </row>
    <row r="39">
      <c r="A39" s="8" t="inlineStr">
        <is>
          <t>2026-06-28</t>
        </is>
      </c>
      <c r="B39" s="8" t="inlineStr">
        <is>
          <t>juniorjoda.com.br</t>
        </is>
      </c>
      <c r="C39" s="8" t="inlineStr">
        <is>
          <t>Junior Joda Soluções Imobiliárias</t>
        </is>
      </c>
      <c r="D39" s="8" t="inlineStr">
        <is>
          <t>5544988132965</t>
        </is>
      </c>
      <c r="E39" s="8" t="inlineStr">
        <is>
          <t>Apartamento</t>
        </is>
      </c>
      <c r="F39" s="9" t="inlineStr">
        <is>
          <t>Zona 01 Centro · Maringá - PR</t>
        </is>
      </c>
      <c r="G39" s="8" t="n">
        <v>240</v>
      </c>
      <c r="H39" s="8" t="n">
        <v>3</v>
      </c>
      <c r="I39" s="8" t="n">
        <v>2</v>
      </c>
      <c r="K39" s="8" t="n">
        <v>2</v>
      </c>
      <c r="L39" s="8" t="n">
        <v>1300000</v>
      </c>
      <c r="M39" s="9" t="inlineStr">
        <is>
          <t>Ref.43820000214 | Porto Virmond | R. Piratininga | Maringá - PR</t>
        </is>
      </c>
      <c r="N39" s="8" t="inlineStr">
        <is>
          <t>Venda</t>
        </is>
      </c>
    </row>
    <row r="40">
      <c r="A40" s="10" t="inlineStr">
        <is>
          <t>2026-06-28</t>
        </is>
      </c>
      <c r="B40" s="10" t="inlineStr">
        <is>
          <t>juniorjoda.com.br</t>
        </is>
      </c>
      <c r="C40" s="10" t="inlineStr">
        <is>
          <t>Junior Joda Soluções Imobiliárias</t>
        </is>
      </c>
      <c r="D40" s="10" t="inlineStr">
        <is>
          <t>5544988132965</t>
        </is>
      </c>
      <c r="E40" s="10" t="inlineStr">
        <is>
          <t>Casa em Condomínio</t>
        </is>
      </c>
      <c r="F40" s="11" t="inlineStr">
        <is>
          <t>Gleba Zacarias de Goes · Santo Inácio - PR</t>
        </is>
      </c>
      <c r="G40" s="10" t="n">
        <v>460</v>
      </c>
      <c r="H40" s="10" t="n">
        <v>2</v>
      </c>
      <c r="I40" s="10" t="n">
        <v>1</v>
      </c>
      <c r="K40" s="10" t="n">
        <v>4</v>
      </c>
      <c r="L40" s="10" t="n">
        <v>1350000</v>
      </c>
      <c r="M40" s="11" t="inlineStr">
        <is>
          <t>Ref.43820000181 | Pousada do Paranapanema | Av. Paranapanema | Santo Inácio - PR</t>
        </is>
      </c>
      <c r="N40" s="10" t="inlineStr">
        <is>
          <t>Venda</t>
        </is>
      </c>
    </row>
    <row r="41">
      <c r="A41" s="8" t="inlineStr">
        <is>
          <t>2026-06-28</t>
        </is>
      </c>
      <c r="B41" s="8" t="inlineStr">
        <is>
          <t>juniorjoda.com.br</t>
        </is>
      </c>
      <c r="C41" s="8" t="inlineStr">
        <is>
          <t>Junior Joda Soluções Imobiliárias</t>
        </is>
      </c>
      <c r="D41" s="8" t="inlineStr">
        <is>
          <t>5544988132965</t>
        </is>
      </c>
      <c r="E41" s="8" t="inlineStr">
        <is>
          <t>Apartamento</t>
        </is>
      </c>
      <c r="F41" s="9" t="inlineStr">
        <is>
          <t>Zona 01 Centro · Maringá - PR</t>
        </is>
      </c>
      <c r="G41" s="8" t="n">
        <v>104.76</v>
      </c>
      <c r="H41" s="8" t="n">
        <v>1</v>
      </c>
      <c r="I41" s="8" t="n">
        <v>1</v>
      </c>
      <c r="K41" s="8" t="n">
        <v>2</v>
      </c>
      <c r="L41" s="8" t="n">
        <v>1400000</v>
      </c>
      <c r="M41" s="9" t="inlineStr">
        <is>
          <t>Ref.43820000190 | Villagio di Italia | Av. Mauá | Maringá - PR</t>
        </is>
      </c>
      <c r="N41" s="8" t="inlineStr">
        <is>
          <t>Venda</t>
        </is>
      </c>
    </row>
    <row r="42">
      <c r="A42" s="10" t="inlineStr">
        <is>
          <t>2026-06-28</t>
        </is>
      </c>
      <c r="B42" s="10" t="inlineStr">
        <is>
          <t>juniorjoda.com.br</t>
        </is>
      </c>
      <c r="C42" s="10" t="inlineStr">
        <is>
          <t>Junior Joda Soluções Imobiliárias</t>
        </is>
      </c>
      <c r="D42" s="10" t="inlineStr">
        <is>
          <t>5544988132965</t>
        </is>
      </c>
      <c r="E42" s="10" t="inlineStr">
        <is>
          <t>Casa em Condomínio</t>
        </is>
      </c>
      <c r="F42" s="11" t="inlineStr">
        <is>
          <t>Zona 08 · Maringá - PR</t>
        </is>
      </c>
      <c r="G42" s="10" t="n">
        <v>216.37</v>
      </c>
      <c r="H42" s="10" t="n">
        <v>1</v>
      </c>
      <c r="I42" s="10" t="n">
        <v>3</v>
      </c>
      <c r="K42" s="10" t="n">
        <v>4</v>
      </c>
      <c r="L42" s="10" t="n">
        <v>1480000</v>
      </c>
      <c r="M42" s="11" t="inlineStr">
        <is>
          <t>Ref.43820000180 | Horizontal Paço Darcos | Av. Londrina | Maringá - PR</t>
        </is>
      </c>
      <c r="N42" s="10" t="inlineStr">
        <is>
          <t>Venda</t>
        </is>
      </c>
    </row>
    <row r="43">
      <c r="A43" s="8" t="inlineStr">
        <is>
          <t>2026-06-28</t>
        </is>
      </c>
      <c r="B43" s="8" t="inlineStr">
        <is>
          <t>juniorjoda.com.br</t>
        </is>
      </c>
      <c r="C43" s="8" t="inlineStr">
        <is>
          <t>Junior Joda Soluções Imobiliárias</t>
        </is>
      </c>
      <c r="D43" s="8" t="inlineStr">
        <is>
          <t>5544988132965</t>
        </is>
      </c>
      <c r="E43" s="8" t="inlineStr">
        <is>
          <t>Apartamento</t>
        </is>
      </c>
      <c r="F43" s="9" t="inlineStr">
        <is>
          <t>Zona 03 · Maringá - PR</t>
        </is>
      </c>
      <c r="G43" s="8" t="n">
        <v>218</v>
      </c>
      <c r="H43" s="8" t="n"/>
      <c r="I43" s="8" t="n"/>
      <c r="K43" s="8" t="n"/>
      <c r="L43" s="8" t="n">
        <v>2876050</v>
      </c>
      <c r="M43" s="9" t="inlineStr">
        <is>
          <t>Ref.43820000207 | Paseo | R. Henrique Dias | Maringá - PR</t>
        </is>
      </c>
      <c r="N43" s="8" t="inlineStr">
        <is>
          <t>Venda</t>
        </is>
      </c>
    </row>
    <row r="44">
      <c r="A44" s="10" t="inlineStr">
        <is>
          <t>2026-06-28</t>
        </is>
      </c>
      <c r="B44" s="10" t="inlineStr">
        <is>
          <t>juniorjoda.com.br</t>
        </is>
      </c>
      <c r="C44" s="10" t="inlineStr">
        <is>
          <t>Junior Joda Soluções Imobiliárias</t>
        </is>
      </c>
      <c r="D44" s="10" t="inlineStr">
        <is>
          <t>5544988132965</t>
        </is>
      </c>
      <c r="E44" s="10" t="inlineStr">
        <is>
          <t>Terreno Comercial</t>
        </is>
      </c>
      <c r="F44" s="11" t="inlineStr">
        <is>
          <t>Gleba Ribeirão Pinguim · Maringá - PR</t>
        </is>
      </c>
      <c r="G44" s="10" t="n">
        <v>40849.64</v>
      </c>
      <c r="H44" s="10" t="n"/>
      <c r="I44" s="10" t="n"/>
      <c r="K44" s="10" t="n"/>
      <c r="L44" s="10" t="n">
        <v>4000000</v>
      </c>
      <c r="M44" s="11" t="inlineStr">
        <is>
          <t>Ref.43820000212 | Rodovia PR317 | Maringá - PR</t>
        </is>
      </c>
      <c r="N44" s="10" t="inlineStr">
        <is>
          <t>Venda</t>
        </is>
      </c>
    </row>
    <row r="45">
      <c r="A45" s="8" t="inlineStr">
        <is>
          <t>2026-06-28</t>
        </is>
      </c>
      <c r="B45" s="8" t="inlineStr">
        <is>
          <t>juniorjoda.com.br</t>
        </is>
      </c>
      <c r="C45" s="8" t="inlineStr">
        <is>
          <t>Junior Joda Soluções Imobiliárias</t>
        </is>
      </c>
      <c r="D45" s="8" t="inlineStr">
        <is>
          <t>5544988132965</t>
        </is>
      </c>
      <c r="E45" s="8" t="inlineStr">
        <is>
          <t>Sala Comercial em Edifício</t>
        </is>
      </c>
      <c r="F45" s="9" t="inlineStr">
        <is>
          <t>Zona 04 · Maringá - PR</t>
        </is>
      </c>
      <c r="G45" s="8" t="n"/>
      <c r="H45" s="8" t="n"/>
      <c r="I45" s="8" t="n"/>
      <c r="K45" s="8" t="n"/>
      <c r="L45" s="8" t="n"/>
      <c r="M45" s="9" t="inlineStr">
        <is>
          <t>Ref.43820000194 | R. Princesa Isabel | Maringá - PR | Para alugar</t>
        </is>
      </c>
      <c r="N45" s="8" t="inlineStr">
        <is>
          <t>Locação</t>
        </is>
      </c>
    </row>
    <row r="46">
      <c r="A46" s="10" t="inlineStr">
        <is>
          <t>2026-06-28</t>
        </is>
      </c>
      <c r="B46" s="10" t="inlineStr">
        <is>
          <t>juniorjoda.com.br</t>
        </is>
      </c>
      <c r="C46" s="10" t="inlineStr">
        <is>
          <t>Junior Joda Soluções Imobiliárias</t>
        </is>
      </c>
      <c r="D46" s="10" t="inlineStr">
        <is>
          <t>5544988132965</t>
        </is>
      </c>
      <c r="E46" s="10" t="inlineStr">
        <is>
          <t>Sala Comercial</t>
        </is>
      </c>
      <c r="F46" s="11" t="inlineStr">
        <is>
          <t>Zona Armazém · Maringá - PR</t>
        </is>
      </c>
      <c r="G46" s="10" t="n">
        <v>109.65</v>
      </c>
      <c r="H46" s="10" t="n"/>
      <c r="I46" s="10" t="n"/>
      <c r="K46" s="10" t="n">
        <v>1</v>
      </c>
      <c r="L46" s="10" t="n"/>
      <c r="M46" s="11" t="inlineStr">
        <is>
          <t>Ref.43820000197 | Phenom Parque Empresarial | Av. Carneiro Leão | Maringá - PR | Para alugar</t>
        </is>
      </c>
      <c r="N46" s="10" t="inlineStr">
        <is>
          <t>Locação</t>
        </is>
      </c>
    </row>
    <row r="47">
      <c r="A47" s="8" t="inlineStr">
        <is>
          <t>2026-06-28</t>
        </is>
      </c>
      <c r="B47" s="8" t="inlineStr">
        <is>
          <t>juniorjoda.com.br</t>
        </is>
      </c>
      <c r="C47" s="8" t="inlineStr">
        <is>
          <t>Junior Joda Soluções Imobiliárias</t>
        </is>
      </c>
      <c r="D47" s="8" t="inlineStr">
        <is>
          <t>5544988132965</t>
        </is>
      </c>
      <c r="E47" s="8" t="inlineStr">
        <is>
          <t>Sala Comercial</t>
        </is>
      </c>
      <c r="F47" s="9" t="inlineStr">
        <is>
          <t>Vila Morangueira · Maringá - PR</t>
        </is>
      </c>
      <c r="G47" s="8" t="n">
        <v>35</v>
      </c>
      <c r="H47" s="8" t="n"/>
      <c r="I47" s="8" t="n"/>
      <c r="K47" s="8" t="n"/>
      <c r="L47" s="8" t="n">
        <v>1100</v>
      </c>
      <c r="M47" s="9" t="inlineStr">
        <is>
          <t>Ref.43820000163 | R. La Paz | Maringá - PR | Para alugar</t>
        </is>
      </c>
      <c r="N47" s="8" t="inlineStr">
        <is>
          <t>Locação</t>
        </is>
      </c>
    </row>
    <row r="48">
      <c r="A48" s="10" t="inlineStr">
        <is>
          <t>2026-06-28</t>
        </is>
      </c>
      <c r="B48" s="10" t="inlineStr">
        <is>
          <t>juniorjoda.com.br</t>
        </is>
      </c>
      <c r="C48" s="10" t="inlineStr">
        <is>
          <t>Junior Joda Soluções Imobiliárias</t>
        </is>
      </c>
      <c r="D48" s="10" t="inlineStr">
        <is>
          <t>5544988132965</t>
        </is>
      </c>
      <c r="E48" s="10" t="inlineStr">
        <is>
          <t>Apartamento</t>
        </is>
      </c>
      <c r="F48" s="11" t="inlineStr">
        <is>
          <t>Parque Res Aeroporto · Maringá - PR</t>
        </is>
      </c>
      <c r="G48" s="10" t="n">
        <v>62.85</v>
      </c>
      <c r="H48" s="10" t="n">
        <v>1</v>
      </c>
      <c r="I48" s="10" t="n">
        <v>1</v>
      </c>
      <c r="K48" s="10" t="n">
        <v>1</v>
      </c>
      <c r="L48" s="10" t="n">
        <v>1300</v>
      </c>
      <c r="M48" s="11" t="inlineStr">
        <is>
          <t>Ref.43820000117 | Residencial Vitória Regia | R. Mário José de Faria Ferraz | Maringá - PR | Para alugar</t>
        </is>
      </c>
      <c r="N48" s="10" t="inlineStr">
        <is>
          <t>Locação</t>
        </is>
      </c>
    </row>
    <row r="49">
      <c r="A49" s="8" t="inlineStr">
        <is>
          <t>2026-06-28</t>
        </is>
      </c>
      <c r="B49" s="8" t="inlineStr">
        <is>
          <t>juniorjoda.com.br</t>
        </is>
      </c>
      <c r="C49" s="8" t="inlineStr">
        <is>
          <t>Junior Joda Soluções Imobiliárias</t>
        </is>
      </c>
      <c r="D49" s="8" t="inlineStr">
        <is>
          <t>5544988132965</t>
        </is>
      </c>
      <c r="E49" s="8" t="inlineStr">
        <is>
          <t>Apartamento</t>
        </is>
      </c>
      <c r="F49" s="9" t="inlineStr">
        <is>
          <t>Parque Res Aeroporto · Maringá - PR</t>
        </is>
      </c>
      <c r="G49" s="8" t="n">
        <v>62.85</v>
      </c>
      <c r="H49" s="8" t="n">
        <v>1</v>
      </c>
      <c r="I49" s="8" t="n">
        <v>1</v>
      </c>
      <c r="K49" s="8" t="n">
        <v>1</v>
      </c>
      <c r="L49" s="8" t="n">
        <v>1300</v>
      </c>
      <c r="M49" s="9" t="inlineStr">
        <is>
          <t>Ref.43820000136 | Residencial Vitória Regia | R. Mário José de Faria Ferraz | Maringá - PR | Para alugar</t>
        </is>
      </c>
      <c r="N49" s="8" t="inlineStr">
        <is>
          <t>Locação</t>
        </is>
      </c>
    </row>
    <row r="50">
      <c r="A50" s="10" t="inlineStr">
        <is>
          <t>2026-06-28</t>
        </is>
      </c>
      <c r="B50" s="10" t="inlineStr">
        <is>
          <t>juniorjoda.com.br</t>
        </is>
      </c>
      <c r="C50" s="10" t="inlineStr">
        <is>
          <t>Junior Joda Soluções Imobiliárias</t>
        </is>
      </c>
      <c r="D50" s="10" t="inlineStr">
        <is>
          <t>5544988132965</t>
        </is>
      </c>
      <c r="E50" s="10" t="inlineStr">
        <is>
          <t>Sala Comercial</t>
        </is>
      </c>
      <c r="F50" s="11" t="inlineStr">
        <is>
          <t>Zona 06 · Maringá - PR</t>
        </is>
      </c>
      <c r="G50" s="10" t="n">
        <v>42</v>
      </c>
      <c r="H50" s="10" t="n"/>
      <c r="I50" s="10" t="n"/>
      <c r="K50" s="10" t="n"/>
      <c r="L50" s="10" t="n">
        <v>1350</v>
      </c>
      <c r="M50" s="11" t="inlineStr">
        <is>
          <t>Ref.43820000120 | Sala Comercial Solar da Rosa | R. João Vercesi | Maringá - PR | Para alugar</t>
        </is>
      </c>
      <c r="N50" s="10" t="inlineStr">
        <is>
          <t>Locação</t>
        </is>
      </c>
    </row>
    <row r="51">
      <c r="A51" s="8" t="inlineStr">
        <is>
          <t>2026-06-28</t>
        </is>
      </c>
      <c r="B51" s="8" t="inlineStr">
        <is>
          <t>juniorjoda.com.br</t>
        </is>
      </c>
      <c r="C51" s="8" t="inlineStr">
        <is>
          <t>Junior Joda Soluções Imobiliárias</t>
        </is>
      </c>
      <c r="D51" s="8" t="inlineStr">
        <is>
          <t>5544988132965</t>
        </is>
      </c>
      <c r="E51" s="8" t="inlineStr">
        <is>
          <t>Apartamento</t>
        </is>
      </c>
      <c r="F51" s="9" t="inlineStr">
        <is>
          <t>Jardim Alvorada · Maringá - PR</t>
        </is>
      </c>
      <c r="G51" s="8" t="n">
        <v>79.59</v>
      </c>
      <c r="H51" s="8" t="n">
        <v>2</v>
      </c>
      <c r="I51" s="8" t="n"/>
      <c r="K51" s="8" t="n">
        <v>1</v>
      </c>
      <c r="L51" s="8" t="n">
        <v>1650</v>
      </c>
      <c r="M51" s="9" t="inlineStr">
        <is>
          <t>Ref.43820000209 | Av. Dona Sophia Rasgulaeff | Maringá - PR | Para alugar</t>
        </is>
      </c>
      <c r="N51" s="8" t="inlineStr">
        <is>
          <t>Locação</t>
        </is>
      </c>
    </row>
    <row r="52">
      <c r="A52" s="10" t="inlineStr">
        <is>
          <t>2026-06-28</t>
        </is>
      </c>
      <c r="B52" s="10" t="inlineStr">
        <is>
          <t>juniorjoda.com.br</t>
        </is>
      </c>
      <c r="C52" s="10" t="inlineStr">
        <is>
          <t>Junior Joda Soluções Imobiliárias</t>
        </is>
      </c>
      <c r="D52" s="10" t="inlineStr">
        <is>
          <t>5544988132965</t>
        </is>
      </c>
      <c r="E52" s="10" t="inlineStr">
        <is>
          <t>Apartamento</t>
        </is>
      </c>
      <c r="F52" s="11" t="inlineStr">
        <is>
          <t>Jardim Aclimação · Maringá - PR</t>
        </is>
      </c>
      <c r="G52" s="10" t="n">
        <v>84</v>
      </c>
      <c r="H52" s="10" t="n">
        <v>2</v>
      </c>
      <c r="I52" s="10" t="n">
        <v>1</v>
      </c>
      <c r="K52" s="10" t="n">
        <v>1</v>
      </c>
      <c r="L52" s="10" t="n">
        <v>2490</v>
      </c>
      <c r="M52" s="11" t="inlineStr">
        <is>
          <t>Ref.43820000201 | Portal de Elyon | Av. Dr. Gastão Vidigal | Maringá - PR | Para alugar</t>
        </is>
      </c>
      <c r="N52" s="10" t="inlineStr">
        <is>
          <t>Locação</t>
        </is>
      </c>
    </row>
    <row r="53">
      <c r="A53" s="8" t="inlineStr">
        <is>
          <t>2026-06-28</t>
        </is>
      </c>
      <c r="B53" s="8" t="inlineStr">
        <is>
          <t>juniorjoda.com.br</t>
        </is>
      </c>
      <c r="C53" s="8" t="inlineStr">
        <is>
          <t>Junior Joda Soluções Imobiliárias</t>
        </is>
      </c>
      <c r="D53" s="8" t="inlineStr">
        <is>
          <t>5544988132965</t>
        </is>
      </c>
      <c r="E53" s="8" t="inlineStr">
        <is>
          <t>Casa</t>
        </is>
      </c>
      <c r="F53" s="9" t="inlineStr">
        <is>
          <t>Jardim Real · Maringá - PR</t>
        </is>
      </c>
      <c r="G53" s="8" t="n">
        <v>106.78</v>
      </c>
      <c r="H53" s="8" t="n">
        <v>2</v>
      </c>
      <c r="I53" s="8" t="n">
        <v>1</v>
      </c>
      <c r="K53" s="8" t="n">
        <v>2</v>
      </c>
      <c r="L53" s="8" t="n">
        <v>2500</v>
      </c>
      <c r="M53" s="9" t="inlineStr">
        <is>
          <t>Ref.43820000224 | R. Rubi | Maringá - PR | Para alugar</t>
        </is>
      </c>
      <c r="N53" s="8" t="inlineStr">
        <is>
          <t>Locação</t>
        </is>
      </c>
    </row>
    <row r="54">
      <c r="A54" s="10" t="inlineStr">
        <is>
          <t>2026-06-28</t>
        </is>
      </c>
      <c r="B54" s="10" t="inlineStr">
        <is>
          <t>juniorjoda.com.br</t>
        </is>
      </c>
      <c r="C54" s="10" t="inlineStr">
        <is>
          <t>Junior Joda Soluções Imobiliárias</t>
        </is>
      </c>
      <c r="D54" s="10" t="inlineStr">
        <is>
          <t>5544988132965</t>
        </is>
      </c>
      <c r="E54" s="10" t="inlineStr">
        <is>
          <t>Barracão</t>
        </is>
      </c>
      <c r="F54" s="11" t="inlineStr">
        <is>
          <t>Jardim Aurora · Maringá - PR</t>
        </is>
      </c>
      <c r="G54" s="10" t="n">
        <v>250</v>
      </c>
      <c r="H54" s="10" t="n"/>
      <c r="I54" s="10" t="n"/>
      <c r="K54" s="10" t="n"/>
      <c r="L54" s="10" t="n">
        <v>3400</v>
      </c>
      <c r="M54" s="11" t="inlineStr">
        <is>
          <t>Ref.43820000186 | R. Marcello Emerson Franchini | Maringá - PR | Para alugar</t>
        </is>
      </c>
      <c r="N54" s="10" t="inlineStr">
        <is>
          <t>Locação</t>
        </is>
      </c>
    </row>
    <row r="55">
      <c r="A55" s="8" t="inlineStr">
        <is>
          <t>2026-06-28</t>
        </is>
      </c>
      <c r="B55" s="8" t="inlineStr">
        <is>
          <t>juniorjoda.com.br</t>
        </is>
      </c>
      <c r="C55" s="8" t="inlineStr">
        <is>
          <t>Junior Joda Soluções Imobiliárias</t>
        </is>
      </c>
      <c r="D55" s="8" t="inlineStr">
        <is>
          <t>5544988132965</t>
        </is>
      </c>
      <c r="E55" s="8" t="inlineStr">
        <is>
          <t>Apartamento Duplex</t>
        </is>
      </c>
      <c r="F55" s="9" t="inlineStr">
        <is>
          <t>Zona 03 · Maringá - PR</t>
        </is>
      </c>
      <c r="G55" s="8" t="n">
        <v>93.81999999999999</v>
      </c>
      <c r="H55" s="8" t="n">
        <v>3</v>
      </c>
      <c r="I55" s="8" t="n"/>
      <c r="K55" s="8" t="n">
        <v>1</v>
      </c>
      <c r="L55" s="8" t="n">
        <v>3500</v>
      </c>
      <c r="M55" s="9" t="inlineStr">
        <is>
          <t>Ref.43820000217 | Salgueiro | R. Marcílio Dias | Maringá - PR | Para alugar</t>
        </is>
      </c>
      <c r="N55" s="8" t="inlineStr">
        <is>
          <t>Locação</t>
        </is>
      </c>
    </row>
    <row r="56">
      <c r="A56" s="10" t="inlineStr">
        <is>
          <t>2026-06-28</t>
        </is>
      </c>
      <c r="B56" s="10" t="inlineStr">
        <is>
          <t>juniorjoda.com.br</t>
        </is>
      </c>
      <c r="C56" s="10" t="inlineStr">
        <is>
          <t>Junior Joda Soluções Imobiliárias</t>
        </is>
      </c>
      <c r="D56" s="10" t="inlineStr">
        <is>
          <t>5544988132965</t>
        </is>
      </c>
      <c r="E56" s="10" t="inlineStr">
        <is>
          <t>Salão Comercial</t>
        </is>
      </c>
      <c r="F56" s="11" t="inlineStr">
        <is>
          <t>Jardim Itaipu · Maringá - PR</t>
        </is>
      </c>
      <c r="G56" s="10" t="n">
        <v>169.28</v>
      </c>
      <c r="H56" s="10" t="n"/>
      <c r="I56" s="10" t="n"/>
      <c r="K56" s="10" t="n">
        <v>6</v>
      </c>
      <c r="L56" s="10" t="n">
        <v>3690</v>
      </c>
      <c r="M56" s="11" t="inlineStr">
        <is>
          <t>Ref.43820000189 | Av. Pioneiro Maurício Mariani | Maringá - PR | Para alugar</t>
        </is>
      </c>
      <c r="N56" s="10" t="inlineStr">
        <is>
          <t>Locação</t>
        </is>
      </c>
    </row>
    <row r="57">
      <c r="A57" s="8" t="inlineStr">
        <is>
          <t>2026-06-28</t>
        </is>
      </c>
      <c r="B57" s="8" t="inlineStr">
        <is>
          <t>juniorjoda.com.br</t>
        </is>
      </c>
      <c r="C57" s="8" t="inlineStr">
        <is>
          <t>Junior Joda Soluções Imobiliárias</t>
        </is>
      </c>
      <c r="D57" s="8" t="inlineStr">
        <is>
          <t>5544988132965</t>
        </is>
      </c>
      <c r="E57" s="8" t="inlineStr">
        <is>
          <t>Apartamento</t>
        </is>
      </c>
      <c r="F57" s="9" t="inlineStr">
        <is>
          <t>Zona 07 · Maringá - PR</t>
        </is>
      </c>
      <c r="G57" s="8" t="n">
        <v>89</v>
      </c>
      <c r="H57" s="8" t="n">
        <v>1</v>
      </c>
      <c r="I57" s="8" t="n">
        <v>1</v>
      </c>
      <c r="K57" s="8" t="n">
        <v>2</v>
      </c>
      <c r="L57" s="8" t="n">
        <v>3800</v>
      </c>
      <c r="M57" s="9" t="inlineStr">
        <is>
          <t>Ref.43820000223 | São Tomé | R. Campos Sales | Maringá - PR | Para alugar</t>
        </is>
      </c>
      <c r="N57" s="8" t="inlineStr">
        <is>
          <t>Locação</t>
        </is>
      </c>
    </row>
    <row r="58">
      <c r="A58" s="10" t="inlineStr">
        <is>
          <t>2026-06-28</t>
        </is>
      </c>
      <c r="B58" s="10" t="inlineStr">
        <is>
          <t>juniorjoda.com.br</t>
        </is>
      </c>
      <c r="C58" s="10" t="inlineStr">
        <is>
          <t>Junior Joda Soluções Imobiliárias</t>
        </is>
      </c>
      <c r="D58" s="10" t="inlineStr">
        <is>
          <t>5544988132965</t>
        </is>
      </c>
      <c r="E58" s="10" t="inlineStr">
        <is>
          <t>Sala Comercial em Edifício</t>
        </is>
      </c>
      <c r="F58" s="11" t="inlineStr">
        <is>
          <t>Zona 03 · Maringá - PR</t>
        </is>
      </c>
      <c r="G58" s="10" t="n">
        <v>60.39</v>
      </c>
      <c r="H58" s="10" t="n"/>
      <c r="I58" s="10" t="n"/>
      <c r="K58" s="10" t="n">
        <v>1</v>
      </c>
      <c r="L58" s="10" t="n">
        <v>3925</v>
      </c>
      <c r="M58" s="11" t="inlineStr">
        <is>
          <t>Ref.43820000208 | R. Santos Dumont | Maringá - PR | Para alugar</t>
        </is>
      </c>
      <c r="N58" s="10" t="inlineStr">
        <is>
          <t>Locação</t>
        </is>
      </c>
    </row>
    <row r="59">
      <c r="A59" s="8" t="inlineStr">
        <is>
          <t>2026-06-28</t>
        </is>
      </c>
      <c r="B59" s="8" t="inlineStr">
        <is>
          <t>juniorjoda.com.br</t>
        </is>
      </c>
      <c r="C59" s="8" t="inlineStr">
        <is>
          <t>Junior Joda Soluções Imobiliárias</t>
        </is>
      </c>
      <c r="D59" s="8" t="inlineStr">
        <is>
          <t>5544988132965</t>
        </is>
      </c>
      <c r="E59" s="8" t="inlineStr">
        <is>
          <t>Apartamento</t>
        </is>
      </c>
      <c r="F59" s="9" t="inlineStr">
        <is>
          <t>Vila Bosque · Maringá - PR</t>
        </is>
      </c>
      <c r="G59" s="8" t="n">
        <v>77.63</v>
      </c>
      <c r="H59" s="8" t="n">
        <v>2</v>
      </c>
      <c r="I59" s="8" t="n">
        <v>1</v>
      </c>
      <c r="K59" s="8" t="n">
        <v>2</v>
      </c>
      <c r="L59" s="8" t="n">
        <v>4000</v>
      </c>
      <c r="M59" s="9" t="inlineStr">
        <is>
          <t>Ref.43820000222 | Bonne Vie Halchuk Residencial Club | R. Mem de Sá | Maringá - PR | Para alugar</t>
        </is>
      </c>
      <c r="N59" s="8" t="inlineStr">
        <is>
          <t>Locação</t>
        </is>
      </c>
    </row>
    <row r="60">
      <c r="A60" s="10" t="inlineStr">
        <is>
          <t>2026-06-28</t>
        </is>
      </c>
      <c r="B60" s="10" t="inlineStr">
        <is>
          <t>juniorjoda.com.br</t>
        </is>
      </c>
      <c r="C60" s="10" t="inlineStr">
        <is>
          <t>Junior Joda Soluções Imobiliárias</t>
        </is>
      </c>
      <c r="D60" s="10" t="inlineStr">
        <is>
          <t>5544988132965</t>
        </is>
      </c>
      <c r="E60" s="10" t="inlineStr">
        <is>
          <t>Sala Comercial</t>
        </is>
      </c>
      <c r="F60" s="11" t="inlineStr">
        <is>
          <t>Zona Armazém · Maringá - PR</t>
        </is>
      </c>
      <c r="G60" s="10" t="n">
        <v>46.17</v>
      </c>
      <c r="H60" s="10" t="n"/>
      <c r="I60" s="10" t="n"/>
      <c r="K60" s="10" t="n">
        <v>1</v>
      </c>
      <c r="L60" s="10" t="n">
        <v>4200</v>
      </c>
      <c r="M60" s="11" t="inlineStr">
        <is>
          <t>Ref.43820000196 | Phenom Parque Empresarial | Av. Carneiro Leão | Maringá - PR | Para alugar</t>
        </is>
      </c>
      <c r="N60" s="10" t="inlineStr">
        <is>
          <t>Locação</t>
        </is>
      </c>
    </row>
    <row r="61">
      <c r="A61" s="8" t="inlineStr">
        <is>
          <t>2026-06-28</t>
        </is>
      </c>
      <c r="B61" s="8" t="inlineStr">
        <is>
          <t>juniorjoda.com.br</t>
        </is>
      </c>
      <c r="C61" s="8" t="inlineStr">
        <is>
          <t>Junior Joda Soluções Imobiliárias</t>
        </is>
      </c>
      <c r="D61" s="8" t="inlineStr">
        <is>
          <t>5544988132965</t>
        </is>
      </c>
      <c r="E61" s="8" t="inlineStr">
        <is>
          <t>Sala Comercial</t>
        </is>
      </c>
      <c r="F61" s="9" t="inlineStr">
        <is>
          <t>Zona Armazém · Maringá - PR</t>
        </is>
      </c>
      <c r="G61" s="8" t="n">
        <v>50.77</v>
      </c>
      <c r="H61" s="8" t="n"/>
      <c r="I61" s="8" t="n"/>
      <c r="K61" s="8" t="n">
        <v>1</v>
      </c>
      <c r="L61" s="8" t="n">
        <v>4500</v>
      </c>
      <c r="M61" s="9" t="inlineStr">
        <is>
          <t>Ref.43820000198 | Phenom Parque Empresarial | Av. Carneiro Leão | Maringá - PR | Para alugar</t>
        </is>
      </c>
      <c r="N61" s="8" t="inlineStr">
        <is>
          <t>Locação</t>
        </is>
      </c>
    </row>
    <row r="62">
      <c r="A62" s="10" t="inlineStr">
        <is>
          <t>2026-06-28</t>
        </is>
      </c>
      <c r="B62" s="10" t="inlineStr">
        <is>
          <t>juniorjoda.com.br</t>
        </is>
      </c>
      <c r="C62" s="10" t="inlineStr">
        <is>
          <t>Junior Joda Soluções Imobiliárias</t>
        </is>
      </c>
      <c r="D62" s="10" t="inlineStr">
        <is>
          <t>5544988132965</t>
        </is>
      </c>
      <c r="E62" s="10" t="inlineStr">
        <is>
          <t>Sala Comercial (Loja)</t>
        </is>
      </c>
      <c r="F62" s="11" t="inlineStr">
        <is>
          <t>Zona 03 · Maringá - PR</t>
        </is>
      </c>
      <c r="G62" s="10" t="n">
        <v>201.82</v>
      </c>
      <c r="H62" s="10" t="n"/>
      <c r="I62" s="10" t="n"/>
      <c r="K62" s="10" t="n"/>
      <c r="L62" s="10" t="n">
        <v>6900</v>
      </c>
      <c r="M62" s="11" t="inlineStr">
        <is>
          <t>Ref.43820000128 | Maison Florence | R. Neo Alves Martins | Maringá - PR | Para alugar</t>
        </is>
      </c>
      <c r="N62" s="10" t="inlineStr">
        <is>
          <t>Locação</t>
        </is>
      </c>
    </row>
    <row r="63">
      <c r="A63" s="8" t="inlineStr">
        <is>
          <t>2026-06-28</t>
        </is>
      </c>
      <c r="B63" s="8" t="inlineStr">
        <is>
          <t>juniorjoda.com.br</t>
        </is>
      </c>
      <c r="C63" s="8" t="inlineStr">
        <is>
          <t>Junior Joda Soluções Imobiliárias</t>
        </is>
      </c>
      <c r="D63" s="8" t="inlineStr">
        <is>
          <t>5544988132965</t>
        </is>
      </c>
      <c r="E63" s="8" t="inlineStr">
        <is>
          <t>Salão Comercial</t>
        </is>
      </c>
      <c r="F63" s="9" t="inlineStr">
        <is>
          <t>Jardim Internorte · Maringá - PR</t>
        </is>
      </c>
      <c r="G63" s="8" t="n">
        <v>399.98</v>
      </c>
      <c r="H63" s="8" t="n"/>
      <c r="I63" s="8" t="n"/>
      <c r="K63" s="8" t="n"/>
      <c r="L63" s="8" t="n">
        <v>6900</v>
      </c>
      <c r="M63" s="9" t="inlineStr">
        <is>
          <t>Ref.43820000172 | R. Estados Unidos | Maringá - PR | Para alugar</t>
        </is>
      </c>
      <c r="N63" s="8" t="inlineStr">
        <is>
          <t>Locação</t>
        </is>
      </c>
    </row>
    <row r="64">
      <c r="A64" s="10" t="inlineStr">
        <is>
          <t>2026-06-28</t>
        </is>
      </c>
      <c r="B64" s="10" t="inlineStr">
        <is>
          <t>juniorjoda.com.br</t>
        </is>
      </c>
      <c r="C64" s="10" t="inlineStr">
        <is>
          <t>Junior Joda Soluções Imobiliárias</t>
        </is>
      </c>
      <c r="D64" s="10" t="inlineStr">
        <is>
          <t>5544988132965</t>
        </is>
      </c>
      <c r="E64" s="10" t="inlineStr">
        <is>
          <t>Sala Comercial</t>
        </is>
      </c>
      <c r="F64" s="11" t="inlineStr">
        <is>
          <t>Zona 08 · Maringá - PR</t>
        </is>
      </c>
      <c r="G64" s="10" t="n">
        <v>83.19</v>
      </c>
      <c r="H64" s="10" t="n"/>
      <c r="I64" s="10" t="n"/>
      <c r="K64" s="10" t="n"/>
      <c r="L64" s="10" t="n">
        <v>7000</v>
      </c>
      <c r="M64" s="11" t="inlineStr">
        <is>
          <t>Ref.43820000221 | Vision Mall | Av. Londrina | Maringá - PR | Para alugar</t>
        </is>
      </c>
      <c r="N64" s="10" t="inlineStr">
        <is>
          <t>Locação</t>
        </is>
      </c>
    </row>
    <row r="65">
      <c r="A65" s="8" t="inlineStr">
        <is>
          <t>2026-06-28</t>
        </is>
      </c>
      <c r="B65" s="8" t="inlineStr">
        <is>
          <t>juniorjoda.com.br</t>
        </is>
      </c>
      <c r="C65" s="8" t="inlineStr">
        <is>
          <t>Junior Joda Soluções Imobiliárias</t>
        </is>
      </c>
      <c r="D65" s="8" t="inlineStr">
        <is>
          <t>5544988132965</t>
        </is>
      </c>
      <c r="E65" s="8" t="inlineStr">
        <is>
          <t>Barracão</t>
        </is>
      </c>
      <c r="F65" s="9" t="inlineStr">
        <is>
          <t>Jardim Aclimação · Maringá - PR</t>
        </is>
      </c>
      <c r="G65" s="8" t="n">
        <v>342.82</v>
      </c>
      <c r="H65" s="8" t="n"/>
      <c r="I65" s="8" t="n"/>
      <c r="K65" s="8" t="n">
        <v>4</v>
      </c>
      <c r="L65" s="8" t="n">
        <v>11900</v>
      </c>
      <c r="M65" s="9" t="inlineStr">
        <is>
          <t>Ref.43820000182 | Av. Senador Petrônio Portela | Maringá - PR | Para alugar</t>
        </is>
      </c>
      <c r="N65" s="8" t="inlineStr">
        <is>
          <t>Locação</t>
        </is>
      </c>
    </row>
    <row r="66">
      <c r="A66" t="inlineStr">
        <is>
          <t>2026-06-28</t>
        </is>
      </c>
      <c r="B66" t="inlineStr">
        <is>
          <t>vivareal.com.br</t>
        </is>
      </c>
      <c r="C66" t="inlineStr">
        <is>
          <t>VivaReal</t>
        </is>
      </c>
      <c r="E66" t="inlineStr">
        <is>
          <t>Casa</t>
        </is>
      </c>
      <c r="F66" t="inlineStr">
        <is>
          <t>Jardim Dias I · Rua Pioneiro Jurandyr Schelles</t>
        </is>
      </c>
      <c r="G66" t="n">
        <v>92</v>
      </c>
      <c r="H66" t="n">
        <v>2</v>
      </c>
      <c r="K66" t="n">
        <v>1</v>
      </c>
      <c r="L66" t="n">
        <v>285000</v>
      </c>
      <c r="M66" t="inlineStr">
        <is>
          <t>VivaReal | id:2895311796</t>
        </is>
      </c>
      <c r="N66" t="inlineStr">
        <is>
          <t>Venda</t>
        </is>
      </c>
    </row>
    <row r="67">
      <c r="A67" t="inlineStr">
        <is>
          <t>2026-06-28</t>
        </is>
      </c>
      <c r="B67" t="inlineStr">
        <is>
          <t>vivareal.com.br</t>
        </is>
      </c>
      <c r="C67" t="inlineStr">
        <is>
          <t>VivaReal</t>
        </is>
      </c>
      <c r="E67" t="inlineStr">
        <is>
          <t>Casa</t>
        </is>
      </c>
      <c r="F67" t="inlineStr">
        <is>
          <t>Conjunto João de Barro Champagnat · Rua Rio Jordão</t>
        </is>
      </c>
      <c r="G67" t="n">
        <v>140</v>
      </c>
      <c r="H67" t="n">
        <v>3</v>
      </c>
      <c r="K67" t="n">
        <v>3</v>
      </c>
      <c r="L67" t="n">
        <v>370000</v>
      </c>
      <c r="M67" t="inlineStr">
        <is>
          <t>VivaReal | id:2860050079</t>
        </is>
      </c>
      <c r="N67" t="inlineStr">
        <is>
          <t>Venda</t>
        </is>
      </c>
    </row>
    <row r="68">
      <c r="A68" t="inlineStr">
        <is>
          <t>2026-06-28</t>
        </is>
      </c>
      <c r="B68" t="inlineStr">
        <is>
          <t>vivareal.com.br</t>
        </is>
      </c>
      <c r="C68" t="inlineStr">
        <is>
          <t>VivaReal</t>
        </is>
      </c>
      <c r="E68" t="inlineStr">
        <is>
          <t>Casa</t>
        </is>
      </c>
      <c r="F68" t="inlineStr">
        <is>
          <t>Residencial Arezzo · Rua Ana Rosa Maria de Jesus Barbosa</t>
        </is>
      </c>
      <c r="G68" t="n">
        <v>148</v>
      </c>
      <c r="H68" t="n">
        <v>3</v>
      </c>
      <c r="K68" t="n">
        <v>3</v>
      </c>
      <c r="L68" t="n">
        <v>470000</v>
      </c>
      <c r="M68" t="inlineStr">
        <is>
          <t>VivaReal | id:2894952537</t>
        </is>
      </c>
      <c r="N68" t="inlineStr">
        <is>
          <t>Venda</t>
        </is>
      </c>
    </row>
    <row r="69">
      <c r="A69" t="inlineStr">
        <is>
          <t>2026-06-28</t>
        </is>
      </c>
      <c r="B69" t="inlineStr">
        <is>
          <t>vivareal.com.br</t>
        </is>
      </c>
      <c r="C69" t="inlineStr">
        <is>
          <t>VivaReal</t>
        </is>
      </c>
      <c r="E69" t="inlineStr">
        <is>
          <t>Casa</t>
        </is>
      </c>
      <c r="F69" t="inlineStr">
        <is>
          <t>Jardim Paulista III · Rua Francisco Dias de Aro</t>
        </is>
      </c>
      <c r="G69" t="n">
        <v>111</v>
      </c>
      <c r="H69" t="n">
        <v>2</v>
      </c>
      <c r="K69" t="n">
        <v>1</v>
      </c>
      <c r="L69" t="n">
        <v>450000</v>
      </c>
      <c r="M69" t="inlineStr">
        <is>
          <t>VivaReal | id:2894566300</t>
        </is>
      </c>
      <c r="N69" t="inlineStr">
        <is>
          <t>Venda</t>
        </is>
      </c>
    </row>
    <row r="70">
      <c r="A70" t="inlineStr">
        <is>
          <t>2026-06-28</t>
        </is>
      </c>
      <c r="B70" t="inlineStr">
        <is>
          <t>vivareal.com.br</t>
        </is>
      </c>
      <c r="C70" t="inlineStr">
        <is>
          <t>VivaReal</t>
        </is>
      </c>
      <c r="E70" t="inlineStr">
        <is>
          <t>Terreno</t>
        </is>
      </c>
      <c r="F70" t="inlineStr">
        <is>
          <t>Jardim Rebouças · Avenida das Torres</t>
        </is>
      </c>
      <c r="G70" t="n">
        <v>449</v>
      </c>
      <c r="L70" t="n">
        <v>349000</v>
      </c>
      <c r="M70" t="inlineStr">
        <is>
          <t>VivaReal | id:2893796687</t>
        </is>
      </c>
      <c r="N70" t="inlineStr">
        <is>
          <t>Venda</t>
        </is>
      </c>
    </row>
    <row r="71">
      <c r="A71" t="inlineStr">
        <is>
          <t>2026-06-28</t>
        </is>
      </c>
      <c r="B71" t="inlineStr">
        <is>
          <t>vivareal.com.br</t>
        </is>
      </c>
      <c r="C71" t="inlineStr">
        <is>
          <t>VivaReal</t>
        </is>
      </c>
      <c r="E71" t="inlineStr">
        <is>
          <t>Casa</t>
        </is>
      </c>
      <c r="F71" t="inlineStr">
        <is>
          <t>Parque Tarumã · Rua Pioneira Fumi Tanoue</t>
        </is>
      </c>
      <c r="G71" t="n">
        <v>74</v>
      </c>
      <c r="H71" t="n">
        <v>3</v>
      </c>
      <c r="K71" t="n">
        <v>2</v>
      </c>
      <c r="L71" t="n">
        <v>370000</v>
      </c>
      <c r="M71" t="inlineStr">
        <is>
          <t>VivaReal | id:2894953815</t>
        </is>
      </c>
      <c r="N71" t="inlineStr">
        <is>
          <t>Venda</t>
        </is>
      </c>
    </row>
    <row r="72">
      <c r="A72" t="inlineStr">
        <is>
          <t>2026-06-28</t>
        </is>
      </c>
      <c r="B72" t="inlineStr">
        <is>
          <t>vivareal.com.br</t>
        </is>
      </c>
      <c r="C72" t="inlineStr">
        <is>
          <t>VivaReal</t>
        </is>
      </c>
      <c r="E72" t="inlineStr">
        <is>
          <t>Casa</t>
        </is>
      </c>
      <c r="F72" t="inlineStr">
        <is>
          <t>Jardim Montreal · Rua Pioneira Rosa Portela da Silva</t>
        </is>
      </c>
      <c r="G72" t="n">
        <v>85</v>
      </c>
      <c r="H72" t="n">
        <v>3</v>
      </c>
      <c r="L72" t="n">
        <v>490000</v>
      </c>
      <c r="M72" t="inlineStr">
        <is>
          <t>VivaReal | id:2895130427</t>
        </is>
      </c>
      <c r="N72" t="inlineStr">
        <is>
          <t>Venda</t>
        </is>
      </c>
    </row>
    <row r="73">
      <c r="A73" t="inlineStr">
        <is>
          <t>2026-06-28</t>
        </is>
      </c>
      <c r="B73" t="inlineStr">
        <is>
          <t>vivareal.com.br</t>
        </is>
      </c>
      <c r="C73" t="inlineStr">
        <is>
          <t>VivaReal</t>
        </is>
      </c>
      <c r="E73" t="inlineStr">
        <is>
          <t>Casa</t>
        </is>
      </c>
      <c r="F73" t="inlineStr">
        <is>
          <t>Jardim Paulista · Rua José Granado Parra</t>
        </is>
      </c>
      <c r="G73" t="n">
        <v>99</v>
      </c>
      <c r="H73" t="n">
        <v>3</v>
      </c>
      <c r="K73" t="n">
        <v>2</v>
      </c>
      <c r="L73" t="n">
        <v>360000</v>
      </c>
      <c r="M73" t="inlineStr">
        <is>
          <t>VivaReal | id:2894959859</t>
        </is>
      </c>
      <c r="N73" t="inlineStr">
        <is>
          <t>Venda</t>
        </is>
      </c>
    </row>
    <row r="74">
      <c r="A74" t="inlineStr">
        <is>
          <t>2026-06-28</t>
        </is>
      </c>
      <c r="B74" t="inlineStr">
        <is>
          <t>vivareal.com.br</t>
        </is>
      </c>
      <c r="C74" t="inlineStr">
        <is>
          <t>VivaReal</t>
        </is>
      </c>
      <c r="E74" t="inlineStr">
        <is>
          <t>Casa</t>
        </is>
      </c>
      <c r="F74" t="inlineStr">
        <is>
          <t>Jardim Olímpico · Rua Albatroz</t>
        </is>
      </c>
      <c r="G74" t="n">
        <v>115</v>
      </c>
      <c r="H74" t="n">
        <v>3</v>
      </c>
      <c r="K74" t="n">
        <v>2</v>
      </c>
      <c r="L74" t="n">
        <v>330000</v>
      </c>
      <c r="M74" t="inlineStr">
        <is>
          <t>VivaReal | id:2894276087</t>
        </is>
      </c>
      <c r="N74" t="inlineStr">
        <is>
          <t>Venda</t>
        </is>
      </c>
    </row>
    <row r="75">
      <c r="A75" t="inlineStr">
        <is>
          <t>2026-06-28</t>
        </is>
      </c>
      <c r="B75" t="inlineStr">
        <is>
          <t>vivareal.com.br</t>
        </is>
      </c>
      <c r="C75" t="inlineStr">
        <is>
          <t>VivaReal</t>
        </is>
      </c>
      <c r="E75" t="inlineStr">
        <is>
          <t>Terreno</t>
        </is>
      </c>
      <c r="F75" t="inlineStr">
        <is>
          <t>Loteamento Sumaré · Rua José Tescaro</t>
        </is>
      </c>
      <c r="G75" t="n">
        <v>300</v>
      </c>
      <c r="L75" t="n">
        <v>285000</v>
      </c>
      <c r="M75" t="inlineStr">
        <is>
          <t>VivaReal | id:2895131842</t>
        </is>
      </c>
      <c r="N75" t="inlineStr">
        <is>
          <t>Venda</t>
        </is>
      </c>
    </row>
    <row r="76">
      <c r="A76" t="inlineStr">
        <is>
          <t>2026-06-28</t>
        </is>
      </c>
      <c r="B76" t="inlineStr">
        <is>
          <t>vivareal.com.br</t>
        </is>
      </c>
      <c r="C76" t="inlineStr">
        <is>
          <t>VivaReal</t>
        </is>
      </c>
      <c r="E76" t="inlineStr">
        <is>
          <t>Apartamento</t>
        </is>
      </c>
      <c r="F76" t="inlineStr">
        <is>
          <t>Vila Marumby · Rua Moscados</t>
        </is>
      </c>
      <c r="G76" t="n">
        <v>58</v>
      </c>
      <c r="H76" t="n">
        <v>2</v>
      </c>
      <c r="K76" t="n">
        <v>1</v>
      </c>
      <c r="L76" t="n">
        <v>429000</v>
      </c>
      <c r="M76" t="inlineStr">
        <is>
          <t>VivaReal | id:2884871226</t>
        </is>
      </c>
      <c r="N76" t="inlineStr">
        <is>
          <t>Venda</t>
        </is>
      </c>
    </row>
    <row r="77">
      <c r="A77" t="inlineStr">
        <is>
          <t>2026-06-28</t>
        </is>
      </c>
      <c r="B77" t="inlineStr">
        <is>
          <t>vivareal.com.br</t>
        </is>
      </c>
      <c r="C77" t="inlineStr">
        <is>
          <t>VivaReal</t>
        </is>
      </c>
      <c r="E77" t="inlineStr">
        <is>
          <t>Sobrado</t>
        </is>
      </c>
      <c r="F77" t="inlineStr">
        <is>
          <t>Chácara Paulista · Rua Distrito Federal</t>
        </is>
      </c>
      <c r="G77" t="n">
        <v>186</v>
      </c>
      <c r="H77" t="n">
        <v>3</v>
      </c>
      <c r="K77" t="n">
        <v>4</v>
      </c>
      <c r="L77" t="n">
        <v>850000</v>
      </c>
      <c r="M77" t="inlineStr">
        <is>
          <t>VivaReal | id:2895134589</t>
        </is>
      </c>
      <c r="N77" t="inlineStr">
        <is>
          <t>Venda</t>
        </is>
      </c>
    </row>
    <row r="78">
      <c r="A78" t="inlineStr">
        <is>
          <t>2026-06-28</t>
        </is>
      </c>
      <c r="B78" t="inlineStr">
        <is>
          <t>vivareal.com.br</t>
        </is>
      </c>
      <c r="C78" t="inlineStr">
        <is>
          <t>VivaReal</t>
        </is>
      </c>
      <c r="E78" t="inlineStr">
        <is>
          <t>Terreno</t>
        </is>
      </c>
      <c r="F78" t="inlineStr">
        <is>
          <t>Jardim São Miguel · Rua Veronice Francisca Ribeiro</t>
        </is>
      </c>
      <c r="G78" t="n">
        <v>319</v>
      </c>
      <c r="L78" t="n">
        <v>250000</v>
      </c>
      <c r="M78" t="inlineStr">
        <is>
          <t>VivaReal | id:2872781201</t>
        </is>
      </c>
      <c r="N78" t="inlineStr">
        <is>
          <t>Venda</t>
        </is>
      </c>
    </row>
    <row r="79">
      <c r="A79" t="inlineStr">
        <is>
          <t>2026-06-28</t>
        </is>
      </c>
      <c r="B79" t="inlineStr">
        <is>
          <t>vivareal.com.br</t>
        </is>
      </c>
      <c r="C79" t="inlineStr">
        <is>
          <t>VivaReal</t>
        </is>
      </c>
      <c r="E79" t="inlineStr">
        <is>
          <t>Terreno</t>
        </is>
      </c>
      <c r="F79" t="inlineStr">
        <is>
          <t>Jardim Paris · Avenida Pioneiro Antônio Franco de Morais</t>
        </is>
      </c>
      <c r="G79" t="n">
        <v>313</v>
      </c>
      <c r="L79" t="n">
        <v>435000</v>
      </c>
      <c r="M79" t="inlineStr">
        <is>
          <t>VivaReal | id:2886436610</t>
        </is>
      </c>
      <c r="N79" t="inlineStr">
        <is>
          <t>Venda</t>
        </is>
      </c>
    </row>
    <row r="80">
      <c r="A80" t="inlineStr">
        <is>
          <t>2026-06-28</t>
        </is>
      </c>
      <c r="B80" t="inlineStr">
        <is>
          <t>vivareal.com.br</t>
        </is>
      </c>
      <c r="C80" t="inlineStr">
        <is>
          <t>VivaReal</t>
        </is>
      </c>
      <c r="E80" t="inlineStr">
        <is>
          <t>Terreno</t>
        </is>
      </c>
      <c r="F80" t="inlineStr">
        <is>
          <t>Parque Industrial 200 · Rodovia PR-317</t>
        </is>
      </c>
      <c r="G80" t="n">
        <v>26</v>
      </c>
      <c r="L80" t="n">
        <v>39000000</v>
      </c>
      <c r="M80" t="inlineStr">
        <is>
          <t>VivaReal | id:2876440290</t>
        </is>
      </c>
      <c r="N80" t="inlineStr">
        <is>
          <t>Venda</t>
        </is>
      </c>
    </row>
    <row r="81">
      <c r="A81" t="inlineStr">
        <is>
          <t>2026-06-28</t>
        </is>
      </c>
      <c r="B81" t="inlineStr">
        <is>
          <t>vivareal.com.br</t>
        </is>
      </c>
      <c r="C81" t="inlineStr">
        <is>
          <t>VivaReal</t>
        </is>
      </c>
      <c r="E81" t="inlineStr">
        <is>
          <t>Casa</t>
        </is>
      </c>
      <c r="F81" t="inlineStr">
        <is>
          <t>Parque Industrial · Rua Prefeito Sadao Inaoka</t>
        </is>
      </c>
      <c r="G81" t="n">
        <v>135</v>
      </c>
      <c r="H81" t="n">
        <v>3</v>
      </c>
      <c r="K81" t="n">
        <v>3</v>
      </c>
      <c r="L81" t="n">
        <v>640000</v>
      </c>
      <c r="M81" t="inlineStr">
        <is>
          <t>VivaReal | id:2821246126</t>
        </is>
      </c>
      <c r="N81" t="inlineStr">
        <is>
          <t>Venda</t>
        </is>
      </c>
    </row>
    <row r="82">
      <c r="A82" t="inlineStr">
        <is>
          <t>2026-06-28</t>
        </is>
      </c>
      <c r="B82" t="inlineStr">
        <is>
          <t>vivareal.com.br</t>
        </is>
      </c>
      <c r="C82" t="inlineStr">
        <is>
          <t>VivaReal</t>
        </is>
      </c>
      <c r="E82" t="inlineStr">
        <is>
          <t>Terreno</t>
        </is>
      </c>
      <c r="F82" t="inlineStr">
        <is>
          <t>Zona 08 · Rua São Cristóvão</t>
        </is>
      </c>
      <c r="G82" t="n">
        <v>547</v>
      </c>
      <c r="L82" t="n">
        <v>900000</v>
      </c>
      <c r="M82" t="inlineStr">
        <is>
          <t>VivaReal | id:2833668328</t>
        </is>
      </c>
      <c r="N82" t="inlineStr">
        <is>
          <t>Venda</t>
        </is>
      </c>
    </row>
    <row r="83">
      <c r="A83" t="inlineStr">
        <is>
          <t>2026-06-28</t>
        </is>
      </c>
      <c r="B83" t="inlineStr">
        <is>
          <t>vivareal.com.br</t>
        </is>
      </c>
      <c r="C83" t="inlineStr">
        <is>
          <t>VivaReal</t>
        </is>
      </c>
      <c r="E83" t="inlineStr">
        <is>
          <t>Imóvel Comercial</t>
        </is>
      </c>
      <c r="F83" t="inlineStr">
        <is>
          <t>Conjunto Habitacional Requião · Rua Antônio Alves Ramalho</t>
        </is>
      </c>
      <c r="G83" t="n">
        <v>102</v>
      </c>
      <c r="H83" t="n">
        <v>3</v>
      </c>
      <c r="K83" t="n">
        <v>2</v>
      </c>
      <c r="L83" t="n">
        <v>380000</v>
      </c>
      <c r="M83" t="inlineStr">
        <is>
          <t>VivaReal | id:2886955075</t>
        </is>
      </c>
      <c r="N83" t="inlineStr">
        <is>
          <t>Venda</t>
        </is>
      </c>
    </row>
    <row r="84">
      <c r="A84" t="inlineStr">
        <is>
          <t>2026-06-28</t>
        </is>
      </c>
      <c r="B84" t="inlineStr">
        <is>
          <t>vivareal.com.br</t>
        </is>
      </c>
      <c r="C84" t="inlineStr">
        <is>
          <t>VivaReal</t>
        </is>
      </c>
      <c r="E84" t="inlineStr">
        <is>
          <t>Ponto Comercial</t>
        </is>
      </c>
      <c r="F84" t="inlineStr">
        <is>
          <t>Zona 01 · Rua Neo Alves Martins</t>
        </is>
      </c>
      <c r="G84" t="n">
        <v>115</v>
      </c>
      <c r="L84" t="n">
        <v>120000</v>
      </c>
      <c r="M84" t="inlineStr">
        <is>
          <t>VivaReal | id:2893944594</t>
        </is>
      </c>
      <c r="N84" t="inlineStr">
        <is>
          <t>Venda</t>
        </is>
      </c>
    </row>
    <row r="85">
      <c r="A85" t="inlineStr">
        <is>
          <t>2026-06-28</t>
        </is>
      </c>
      <c r="B85" t="inlineStr">
        <is>
          <t>vivareal.com.br</t>
        </is>
      </c>
      <c r="C85" t="inlineStr">
        <is>
          <t>VivaReal</t>
        </is>
      </c>
      <c r="E85" t="inlineStr">
        <is>
          <t>Apartamento</t>
        </is>
      </c>
      <c r="F85" t="inlineStr">
        <is>
          <t>Recanto dos Magnatas · Rua Jair do Couto Costa</t>
        </is>
      </c>
      <c r="G85" t="n">
        <v>49</v>
      </c>
      <c r="H85" t="n">
        <v>2</v>
      </c>
      <c r="K85" t="n">
        <v>1</v>
      </c>
      <c r="L85" t="n">
        <v>349000</v>
      </c>
      <c r="M85" t="inlineStr">
        <is>
          <t>VivaReal | id:2895332289</t>
        </is>
      </c>
      <c r="N85" t="inlineStr">
        <is>
          <t>Venda</t>
        </is>
      </c>
    </row>
    <row r="86">
      <c r="A86" t="inlineStr">
        <is>
          <t>2026-06-28</t>
        </is>
      </c>
      <c r="B86" t="inlineStr">
        <is>
          <t>vivareal.com.br</t>
        </is>
      </c>
      <c r="C86" t="inlineStr">
        <is>
          <t>VivaReal</t>
        </is>
      </c>
      <c r="E86" t="inlineStr">
        <is>
          <t>Terreno</t>
        </is>
      </c>
      <c r="F86" t="inlineStr">
        <is>
          <t>Zona 07 · Rua Mandaguari</t>
        </is>
      </c>
      <c r="G86" t="n">
        <v>349</v>
      </c>
      <c r="L86" t="n">
        <v>530000</v>
      </c>
      <c r="M86" t="inlineStr">
        <is>
          <t>VivaReal | id:2895134981</t>
        </is>
      </c>
      <c r="N86" t="inlineStr">
        <is>
          <t>Venda</t>
        </is>
      </c>
    </row>
    <row r="87">
      <c r="A87" t="inlineStr">
        <is>
          <t>2026-06-28</t>
        </is>
      </c>
      <c r="B87" t="inlineStr">
        <is>
          <t>vivareal.com.br</t>
        </is>
      </c>
      <c r="C87" t="inlineStr">
        <is>
          <t>VivaReal</t>
        </is>
      </c>
      <c r="E87" t="inlineStr">
        <is>
          <t>Casa</t>
        </is>
      </c>
      <c r="F87" t="inlineStr">
        <is>
          <t>Jardim Liberdade · Rua Vila Rica</t>
        </is>
      </c>
      <c r="G87" t="n">
        <v>90</v>
      </c>
      <c r="H87" t="n">
        <v>3</v>
      </c>
      <c r="K87" t="n">
        <v>2</v>
      </c>
      <c r="L87" t="n">
        <v>499000</v>
      </c>
      <c r="M87" t="inlineStr">
        <is>
          <t>VivaReal | id:2825361425</t>
        </is>
      </c>
      <c r="N87" t="inlineStr">
        <is>
          <t>Venda</t>
        </is>
      </c>
    </row>
    <row r="88">
      <c r="A88" t="inlineStr">
        <is>
          <t>2026-06-28</t>
        </is>
      </c>
      <c r="B88" t="inlineStr">
        <is>
          <t>vivareal.com.br</t>
        </is>
      </c>
      <c r="C88" t="inlineStr">
        <is>
          <t>VivaReal</t>
        </is>
      </c>
      <c r="E88" t="inlineStr">
        <is>
          <t>Terreno</t>
        </is>
      </c>
      <c r="F88" t="inlineStr">
        <is>
          <t>Jardim Olímpico · Rua Bem-te-vi</t>
        </is>
      </c>
      <c r="G88" t="n">
        <v>362</v>
      </c>
      <c r="L88" t="n">
        <v>420000</v>
      </c>
      <c r="M88" t="inlineStr">
        <is>
          <t>VivaReal | id:2879601839</t>
        </is>
      </c>
      <c r="N88" t="inlineStr">
        <is>
          <t>Venda</t>
        </is>
      </c>
    </row>
    <row r="89">
      <c r="A89" t="inlineStr">
        <is>
          <t>2026-06-28</t>
        </is>
      </c>
      <c r="B89" t="inlineStr">
        <is>
          <t>vivareal.com.br</t>
        </is>
      </c>
      <c r="C89" t="inlineStr">
        <is>
          <t>VivaReal</t>
        </is>
      </c>
      <c r="E89" t="inlineStr">
        <is>
          <t>Apartamento</t>
        </is>
      </c>
      <c r="F89" t="inlineStr">
        <is>
          <t>Conjunto Habitacional Lea Leal · Rua Madre Mônica Maria</t>
        </is>
      </c>
      <c r="G89" t="n">
        <v>54</v>
      </c>
      <c r="H89" t="n">
        <v>3</v>
      </c>
      <c r="K89" t="n">
        <v>1</v>
      </c>
      <c r="L89" t="n">
        <v>300000</v>
      </c>
      <c r="M89" t="inlineStr">
        <is>
          <t>VivaReal | id:2895002094</t>
        </is>
      </c>
      <c r="N89" t="inlineStr">
        <is>
          <t>Venda</t>
        </is>
      </c>
    </row>
    <row r="90">
      <c r="A90" t="inlineStr">
        <is>
          <t>2026-06-28</t>
        </is>
      </c>
      <c r="B90" t="inlineStr">
        <is>
          <t>vivareal.com.br</t>
        </is>
      </c>
      <c r="C90" t="inlineStr">
        <is>
          <t>VivaReal</t>
        </is>
      </c>
      <c r="E90" t="inlineStr">
        <is>
          <t>Terreno</t>
        </is>
      </c>
      <c r="F90" t="inlineStr">
        <is>
          <t>Jardim Michelangelo · Rua Nelson de Britto</t>
        </is>
      </c>
      <c r="G90" t="n">
        <v>319</v>
      </c>
      <c r="L90" t="n">
        <v>542232</v>
      </c>
      <c r="M90" t="inlineStr">
        <is>
          <t>VivaReal | id:2893571574</t>
        </is>
      </c>
      <c r="N90" t="inlineStr">
        <is>
          <t>Venda</t>
        </is>
      </c>
    </row>
    <row r="91">
      <c r="A91" t="inlineStr">
        <is>
          <t>2026-06-28</t>
        </is>
      </c>
      <c r="B91" t="inlineStr">
        <is>
          <t>vivareal.com.br</t>
        </is>
      </c>
      <c r="C91" t="inlineStr">
        <is>
          <t>VivaReal</t>
        </is>
      </c>
      <c r="E91" t="inlineStr">
        <is>
          <t>Casa</t>
        </is>
      </c>
      <c r="F91" t="inlineStr">
        <is>
          <t>Jardim Paris · Rua Nilo Polo Ferrato</t>
        </is>
      </c>
      <c r="G91" t="n">
        <v>100</v>
      </c>
      <c r="H91" t="n">
        <v>3</v>
      </c>
      <c r="K91" t="n">
        <v>1</v>
      </c>
      <c r="L91" t="n">
        <v>370000</v>
      </c>
      <c r="M91" t="inlineStr">
        <is>
          <t>VivaReal | id:2894134380</t>
        </is>
      </c>
      <c r="N91" t="inlineStr">
        <is>
          <t>Venda</t>
        </is>
      </c>
    </row>
    <row r="92">
      <c r="A92" t="inlineStr">
        <is>
          <t>2026-06-28</t>
        </is>
      </c>
      <c r="B92" t="inlineStr">
        <is>
          <t>vivareal.com.br</t>
        </is>
      </c>
      <c r="C92" t="inlineStr">
        <is>
          <t>VivaReal</t>
        </is>
      </c>
      <c r="E92" t="inlineStr">
        <is>
          <t>Terreno</t>
        </is>
      </c>
      <c r="F92" t="inlineStr">
        <is>
          <t>Jardim Brasil · Rua Jaspe</t>
        </is>
      </c>
      <c r="G92" t="n">
        <v>307</v>
      </c>
      <c r="L92" t="n">
        <v>380000</v>
      </c>
      <c r="M92" t="inlineStr">
        <is>
          <t>VivaReal | id:2879480344</t>
        </is>
      </c>
      <c r="N92" t="inlineStr">
        <is>
          <t>Venda</t>
        </is>
      </c>
    </row>
    <row r="93">
      <c r="A93" t="inlineStr">
        <is>
          <t>2026-06-28</t>
        </is>
      </c>
      <c r="B93" t="inlineStr">
        <is>
          <t>vivareal.com.br</t>
        </is>
      </c>
      <c r="C93" t="inlineStr">
        <is>
          <t>VivaReal</t>
        </is>
      </c>
      <c r="E93" t="inlineStr">
        <is>
          <t>Casa</t>
        </is>
      </c>
      <c r="F93" t="inlineStr">
        <is>
          <t>Copacabana Residencial · Rua Pioneiro Adelino Rigolin</t>
        </is>
      </c>
      <c r="G93" t="n">
        <v>111</v>
      </c>
      <c r="H93" t="n">
        <v>3</v>
      </c>
      <c r="K93" t="n">
        <v>4</v>
      </c>
      <c r="L93" t="n">
        <v>380000</v>
      </c>
      <c r="M93" t="inlineStr">
        <is>
          <t>VivaReal | id:2893790550</t>
        </is>
      </c>
      <c r="N93" t="inlineStr">
        <is>
          <t>Venda</t>
        </is>
      </c>
    </row>
    <row r="94">
      <c r="A94" t="inlineStr">
        <is>
          <t>2026-06-28</t>
        </is>
      </c>
      <c r="B94" t="inlineStr">
        <is>
          <t>vivareal.com.br</t>
        </is>
      </c>
      <c r="C94" t="inlineStr">
        <is>
          <t>VivaReal</t>
        </is>
      </c>
      <c r="E94" t="inlineStr">
        <is>
          <t>Terreno</t>
        </is>
      </c>
      <c r="F94" t="inlineStr">
        <is>
          <t>Jardim Munique · Rua Silvana Aparecida da Rosa Martins</t>
        </is>
      </c>
      <c r="G94" t="n">
        <v>200</v>
      </c>
      <c r="L94" t="n">
        <v>240000</v>
      </c>
      <c r="M94" t="inlineStr">
        <is>
          <t>VivaReal | id:2871471379</t>
        </is>
      </c>
      <c r="N94" t="inlineStr">
        <is>
          <t>Venda</t>
        </is>
      </c>
    </row>
    <row r="95">
      <c r="A95" t="inlineStr">
        <is>
          <t>2026-06-28</t>
        </is>
      </c>
      <c r="B95" t="inlineStr">
        <is>
          <t>vivareal.com.br</t>
        </is>
      </c>
      <c r="C95" t="inlineStr">
        <is>
          <t>VivaReal</t>
        </is>
      </c>
      <c r="E95" t="inlineStr">
        <is>
          <t>Terreno</t>
        </is>
      </c>
      <c r="F95" t="inlineStr">
        <is>
          <t>Portal das Torres · Avenida Torres</t>
        </is>
      </c>
      <c r="G95" t="n">
        <v>597</v>
      </c>
      <c r="L95" t="n">
        <v>490000</v>
      </c>
      <c r="M95" t="inlineStr">
        <is>
          <t>VivaReal | id:2892056377</t>
        </is>
      </c>
      <c r="N95" t="inlineStr">
        <is>
          <t>Venda</t>
        </is>
      </c>
    </row>
    <row r="96">
      <c r="A96" t="inlineStr">
        <is>
          <t>2026-06-28</t>
        </is>
      </c>
      <c r="B96" t="inlineStr">
        <is>
          <t>vivareal.com.br</t>
        </is>
      </c>
      <c r="C96" t="inlineStr">
        <is>
          <t>VivaReal</t>
        </is>
      </c>
      <c r="E96" t="inlineStr">
        <is>
          <t>Terreno</t>
        </is>
      </c>
      <c r="F96" t="inlineStr">
        <is>
          <t>Jardim da Glória · Avenida 7 de Setembro</t>
        </is>
      </c>
      <c r="G96" t="n">
        <v>350</v>
      </c>
      <c r="H96" t="n">
        <v>3</v>
      </c>
      <c r="K96" t="n">
        <v>2</v>
      </c>
      <c r="L96" t="n">
        <v>700000</v>
      </c>
      <c r="M96" t="inlineStr">
        <is>
          <t>VivaReal | id:2885163074</t>
        </is>
      </c>
      <c r="N96" t="inlineStr">
        <is>
          <t>Venda</t>
        </is>
      </c>
    </row>
    <row r="97">
      <c r="A97" t="inlineStr">
        <is>
          <t>2026-06-28</t>
        </is>
      </c>
      <c r="B97" t="inlineStr">
        <is>
          <t>vivareal.com.br</t>
        </is>
      </c>
      <c r="C97" t="inlineStr">
        <is>
          <t>VivaReal</t>
        </is>
      </c>
      <c r="E97" t="inlineStr">
        <is>
          <t>Terreno</t>
        </is>
      </c>
      <c r="F97" t="inlineStr">
        <is>
          <t>Parque Residencial Tuiuti · Rua Rio Congoinhas</t>
        </is>
      </c>
      <c r="G97" t="n">
        <v>300</v>
      </c>
      <c r="L97" t="n">
        <v>200000</v>
      </c>
      <c r="M97" t="inlineStr">
        <is>
          <t>VivaReal | id:2895161610</t>
        </is>
      </c>
      <c r="N97" t="inlineStr">
        <is>
          <t>Venda</t>
        </is>
      </c>
    </row>
    <row r="98">
      <c r="A98" t="inlineStr">
        <is>
          <t>2026-06-28</t>
        </is>
      </c>
      <c r="B98" t="inlineStr">
        <is>
          <t>vivareal.com.br</t>
        </is>
      </c>
      <c r="C98" t="inlineStr">
        <is>
          <t>VivaReal</t>
        </is>
      </c>
      <c r="E98" t="inlineStr">
        <is>
          <t>Apartamento</t>
        </is>
      </c>
      <c r="F98" t="inlineStr">
        <is>
          <t>Zona 03 · Rua Barroso</t>
        </is>
      </c>
      <c r="G98" t="n">
        <v>60</v>
      </c>
      <c r="H98" t="n">
        <v>2</v>
      </c>
      <c r="K98" t="n">
        <v>1</v>
      </c>
      <c r="L98" t="n">
        <v>470000</v>
      </c>
      <c r="M98" t="inlineStr">
        <is>
          <t>VivaReal | id:2833665358</t>
        </is>
      </c>
      <c r="N98" t="inlineStr">
        <is>
          <t>Venda</t>
        </is>
      </c>
    </row>
    <row r="99">
      <c r="A99" t="inlineStr">
        <is>
          <t>2026-06-28</t>
        </is>
      </c>
      <c r="B99" t="inlineStr">
        <is>
          <t>vivareal.com.br</t>
        </is>
      </c>
      <c r="C99" t="inlineStr">
        <is>
          <t>VivaReal</t>
        </is>
      </c>
      <c r="E99" t="inlineStr">
        <is>
          <t>Terreno</t>
        </is>
      </c>
      <c r="F99" t="inlineStr">
        <is>
          <t>Jardim Brasil · Avenida Deputado José Alves dos Santos</t>
        </is>
      </c>
      <c r="G99" t="n">
        <v>360</v>
      </c>
      <c r="L99" t="n">
        <v>436000</v>
      </c>
      <c r="M99" t="inlineStr">
        <is>
          <t>VivaReal | id:2816951834</t>
        </is>
      </c>
      <c r="N99" t="inlineStr">
        <is>
          <t>Venda</t>
        </is>
      </c>
    </row>
    <row r="100">
      <c r="A100" t="inlineStr">
        <is>
          <t>2026-06-28</t>
        </is>
      </c>
      <c r="B100" t="inlineStr">
        <is>
          <t>vivareal.com.br</t>
        </is>
      </c>
      <c r="C100" t="inlineStr">
        <is>
          <t>VivaReal</t>
        </is>
      </c>
      <c r="E100" t="inlineStr">
        <is>
          <t>Terreno</t>
        </is>
      </c>
      <c r="F100" t="inlineStr">
        <is>
          <t>Jardim da Glória · Rua Pioneiro Carlos Poppi</t>
        </is>
      </c>
      <c r="G100" t="n">
        <v>351</v>
      </c>
      <c r="L100" t="n">
        <v>380000</v>
      </c>
      <c r="M100" t="inlineStr">
        <is>
          <t>VivaReal | id:2805820417</t>
        </is>
      </c>
      <c r="N100" t="inlineStr">
        <is>
          <t>Venda</t>
        </is>
      </c>
    </row>
    <row r="101">
      <c r="A101" t="inlineStr">
        <is>
          <t>2026-06-28</t>
        </is>
      </c>
      <c r="B101" t="inlineStr">
        <is>
          <t>vivareal.com.br</t>
        </is>
      </c>
      <c r="C101" t="inlineStr">
        <is>
          <t>VivaReal</t>
        </is>
      </c>
      <c r="E101" t="inlineStr">
        <is>
          <t>Casa</t>
        </is>
      </c>
      <c r="F101" t="inlineStr">
        <is>
          <t>Parque Hortência · Rua Pioneiro Alfredo Soares de Freitas</t>
        </is>
      </c>
      <c r="G101" t="n">
        <v>121</v>
      </c>
      <c r="H101" t="n">
        <v>4</v>
      </c>
      <c r="K101" t="n">
        <v>4</v>
      </c>
      <c r="L101" t="n">
        <v>450000</v>
      </c>
      <c r="M101" t="inlineStr">
        <is>
          <t>VivaReal | id:2886638776</t>
        </is>
      </c>
      <c r="N101" t="inlineStr">
        <is>
          <t>Venda</t>
        </is>
      </c>
    </row>
    <row r="102">
      <c r="A102" t="inlineStr">
        <is>
          <t>2026-06-28</t>
        </is>
      </c>
      <c r="B102" t="inlineStr">
        <is>
          <t>vivareal.com.br</t>
        </is>
      </c>
      <c r="C102" t="inlineStr">
        <is>
          <t>VivaReal</t>
        </is>
      </c>
      <c r="E102" t="inlineStr">
        <is>
          <t>Apartamento</t>
        </is>
      </c>
      <c r="F102" t="inlineStr">
        <is>
          <t>Vila Marumby · Rua Assunção</t>
        </is>
      </c>
      <c r="G102" t="n">
        <v>61</v>
      </c>
      <c r="H102" t="n">
        <v>2</v>
      </c>
      <c r="K102" t="n">
        <v>1</v>
      </c>
      <c r="L102" t="n">
        <v>295000</v>
      </c>
      <c r="M102" t="inlineStr">
        <is>
          <t>VivaReal | id:2894648879</t>
        </is>
      </c>
      <c r="N102" t="inlineStr">
        <is>
          <t>Venda</t>
        </is>
      </c>
    </row>
    <row r="103">
      <c r="A103" t="inlineStr">
        <is>
          <t>2026-06-28</t>
        </is>
      </c>
      <c r="B103" t="inlineStr">
        <is>
          <t>vivareal.com.br</t>
        </is>
      </c>
      <c r="C103" t="inlineStr">
        <is>
          <t>VivaReal</t>
        </is>
      </c>
      <c r="E103" t="inlineStr">
        <is>
          <t>Casa</t>
        </is>
      </c>
      <c r="F103" t="inlineStr">
        <is>
          <t>Ebenezer · Rua Foz do Areia</t>
        </is>
      </c>
      <c r="G103" t="n">
        <v>80</v>
      </c>
      <c r="H103" t="n">
        <v>3</v>
      </c>
      <c r="K103" t="n">
        <v>2</v>
      </c>
      <c r="L103" t="n">
        <v>380000</v>
      </c>
      <c r="M103" t="inlineStr">
        <is>
          <t>VivaReal | id:2886955680</t>
        </is>
      </c>
      <c r="N103" t="inlineStr">
        <is>
          <t>Venda</t>
        </is>
      </c>
    </row>
    <row r="104">
      <c r="A104" t="inlineStr">
        <is>
          <t>2026-06-28</t>
        </is>
      </c>
      <c r="B104" t="inlineStr">
        <is>
          <t>vivareal.com.br</t>
        </is>
      </c>
      <c r="C104" t="inlineStr">
        <is>
          <t>VivaReal</t>
        </is>
      </c>
      <c r="E104" t="inlineStr">
        <is>
          <t>Terreno</t>
        </is>
      </c>
      <c r="F104" t="inlineStr">
        <is>
          <t>Jardim Rebouças · Rua Pioneiro Salvador Kessa</t>
        </is>
      </c>
      <c r="G104" t="n">
        <v>367</v>
      </c>
      <c r="L104" t="n">
        <v>279000</v>
      </c>
      <c r="M104" t="inlineStr">
        <is>
          <t>VivaReal | id:2872781095</t>
        </is>
      </c>
      <c r="N104" t="inlineStr">
        <is>
          <t>Venda</t>
        </is>
      </c>
    </row>
    <row r="105">
      <c r="A105" t="inlineStr">
        <is>
          <t>2026-06-28</t>
        </is>
      </c>
      <c r="B105" t="inlineStr">
        <is>
          <t>vivareal.com.br</t>
        </is>
      </c>
      <c r="C105" t="inlineStr">
        <is>
          <t>VivaReal</t>
        </is>
      </c>
      <c r="E105" t="inlineStr">
        <is>
          <t>Terreno</t>
        </is>
      </c>
      <c r="F105" t="inlineStr">
        <is>
          <t>Parque Industrial · Avenida Constâncio Pereira Dias</t>
        </is>
      </c>
      <c r="G105" t="n">
        <v>10</v>
      </c>
      <c r="L105" t="n">
        <v>5000000</v>
      </c>
      <c r="M105" t="inlineStr">
        <is>
          <t>VivaReal | id:2865270759</t>
        </is>
      </c>
      <c r="N105" t="inlineStr">
        <is>
          <t>Venda</t>
        </is>
      </c>
    </row>
    <row r="106">
      <c r="A106" t="inlineStr">
        <is>
          <t>2026-06-28</t>
        </is>
      </c>
      <c r="B106" t="inlineStr">
        <is>
          <t>vivareal.com.br</t>
        </is>
      </c>
      <c r="C106" t="inlineStr">
        <is>
          <t>VivaReal</t>
        </is>
      </c>
      <c r="E106" t="inlineStr">
        <is>
          <t>Terreno</t>
        </is>
      </c>
      <c r="F106" t="inlineStr">
        <is>
          <t>Jardim Paraíso · Rua Pioneiro Carlos Bulla</t>
        </is>
      </c>
      <c r="G106" t="n">
        <v>475</v>
      </c>
      <c r="L106" t="n">
        <v>549000</v>
      </c>
      <c r="M106" t="inlineStr">
        <is>
          <t>VivaReal | id:2817109841</t>
        </is>
      </c>
      <c r="N106" t="inlineStr">
        <is>
          <t>Venda</t>
        </is>
      </c>
    </row>
    <row r="107">
      <c r="A107" t="inlineStr">
        <is>
          <t>2026-06-28</t>
        </is>
      </c>
      <c r="B107" t="inlineStr">
        <is>
          <t>vivareal.com.br</t>
        </is>
      </c>
      <c r="C107" t="inlineStr">
        <is>
          <t>VivaReal</t>
        </is>
      </c>
      <c r="E107" t="inlineStr">
        <is>
          <t>Terreno</t>
        </is>
      </c>
      <c r="F107" t="inlineStr">
        <is>
          <t>Jardim Licce · Rua Ivaldo Borges Horta</t>
        </is>
      </c>
      <c r="G107" t="n">
        <v>343</v>
      </c>
      <c r="L107" t="n">
        <v>280000</v>
      </c>
      <c r="M107" t="inlineStr">
        <is>
          <t>VivaReal | id:2843135314</t>
        </is>
      </c>
      <c r="N107" t="inlineStr">
        <is>
          <t>Venda</t>
        </is>
      </c>
    </row>
    <row r="108">
      <c r="A108" t="inlineStr">
        <is>
          <t>2026-06-28</t>
        </is>
      </c>
      <c r="B108" t="inlineStr">
        <is>
          <t>vivareal.com.br</t>
        </is>
      </c>
      <c r="C108" t="inlineStr">
        <is>
          <t>VivaReal</t>
        </is>
      </c>
      <c r="E108" t="inlineStr">
        <is>
          <t>Apartamento</t>
        </is>
      </c>
      <c r="F108" t="inlineStr">
        <is>
          <t>Zona 01 · Avenida Governador Parigot de Souza</t>
        </is>
      </c>
      <c r="G108" t="n">
        <v>51</v>
      </c>
      <c r="H108" t="n">
        <v>1</v>
      </c>
      <c r="K108" t="n">
        <v>1</v>
      </c>
      <c r="L108" t="n">
        <v>578936</v>
      </c>
      <c r="M108" t="inlineStr">
        <is>
          <t>VivaReal | id:2893099597</t>
        </is>
      </c>
      <c r="N108" t="inlineStr">
        <is>
          <t>Venda</t>
        </is>
      </c>
    </row>
    <row r="109">
      <c r="A109" t="inlineStr">
        <is>
          <t>2026-06-28</t>
        </is>
      </c>
      <c r="B109" t="inlineStr">
        <is>
          <t>vivareal.com.br</t>
        </is>
      </c>
      <c r="C109" t="inlineStr">
        <is>
          <t>VivaReal</t>
        </is>
      </c>
      <c r="E109" t="inlineStr">
        <is>
          <t>Casa</t>
        </is>
      </c>
      <c r="F109" t="inlineStr">
        <is>
          <t>Conjunto Habitacional Requião · Rua Amélia Henrique</t>
        </is>
      </c>
      <c r="G109" t="n">
        <v>82</v>
      </c>
      <c r="H109" t="n">
        <v>3</v>
      </c>
      <c r="K109" t="n">
        <v>2</v>
      </c>
      <c r="L109" t="n">
        <v>430000</v>
      </c>
      <c r="M109" t="inlineStr">
        <is>
          <t>VivaReal | id:2894743201</t>
        </is>
      </c>
      <c r="N109" t="inlineStr">
        <is>
          <t>Venda</t>
        </is>
      </c>
    </row>
    <row r="110">
      <c r="A110" t="inlineStr">
        <is>
          <t>2026-06-28</t>
        </is>
      </c>
      <c r="B110" t="inlineStr">
        <is>
          <t>vivareal.com.br</t>
        </is>
      </c>
      <c r="C110" t="inlineStr">
        <is>
          <t>VivaReal</t>
        </is>
      </c>
      <c r="E110" t="inlineStr">
        <is>
          <t>Terreno</t>
        </is>
      </c>
      <c r="F110" t="inlineStr">
        <is>
          <t>Jardim Oriental · Rua Onofre Manoel</t>
        </is>
      </c>
      <c r="G110" t="n">
        <v>248</v>
      </c>
      <c r="L110" t="n">
        <v>185000</v>
      </c>
      <c r="M110" t="inlineStr">
        <is>
          <t>VivaReal | id:2681311599</t>
        </is>
      </c>
      <c r="N110" t="inlineStr">
        <is>
          <t>Venda</t>
        </is>
      </c>
    </row>
    <row r="111">
      <c r="A111" t="inlineStr">
        <is>
          <t>2026-06-28</t>
        </is>
      </c>
      <c r="B111" t="inlineStr">
        <is>
          <t>vivareal.com.br</t>
        </is>
      </c>
      <c r="C111" t="inlineStr">
        <is>
          <t>VivaReal</t>
        </is>
      </c>
      <c r="E111" t="inlineStr">
        <is>
          <t>Terreno</t>
        </is>
      </c>
      <c r="F111" t="inlineStr">
        <is>
          <t>Conjunto Habitacional Requião · Rua Arlindo Urgnani</t>
        </is>
      </c>
      <c r="G111" t="n">
        <v>400</v>
      </c>
      <c r="L111" t="n">
        <v>329091</v>
      </c>
      <c r="M111" t="inlineStr">
        <is>
          <t>VivaReal | id:2718696959</t>
        </is>
      </c>
      <c r="N111" t="inlineStr">
        <is>
          <t>Venda</t>
        </is>
      </c>
    </row>
    <row r="112">
      <c r="A112" t="inlineStr">
        <is>
          <t>2026-06-28</t>
        </is>
      </c>
      <c r="B112" t="inlineStr">
        <is>
          <t>vivareal.com.br</t>
        </is>
      </c>
      <c r="C112" t="inlineStr">
        <is>
          <t>VivaReal</t>
        </is>
      </c>
      <c r="E112" t="inlineStr">
        <is>
          <t>Terreno</t>
        </is>
      </c>
      <c r="F112" t="inlineStr">
        <is>
          <t>Jardim Itaipu · Avenida Pioneiro Maurício Mariani</t>
        </is>
      </c>
      <c r="G112" t="n">
        <v>400</v>
      </c>
      <c r="L112" t="n">
        <v>255000</v>
      </c>
      <c r="M112" t="inlineStr">
        <is>
          <t>VivaReal | id:2889484399</t>
        </is>
      </c>
      <c r="N112" t="inlineStr">
        <is>
          <t>Venda</t>
        </is>
      </c>
    </row>
    <row r="113">
      <c r="A113" t="inlineStr">
        <is>
          <t>2026-06-28</t>
        </is>
      </c>
      <c r="B113" t="inlineStr">
        <is>
          <t>vivareal.com.br</t>
        </is>
      </c>
      <c r="C113" t="inlineStr">
        <is>
          <t>VivaReal</t>
        </is>
      </c>
      <c r="E113" t="inlineStr">
        <is>
          <t>Terreno</t>
        </is>
      </c>
      <c r="F113" t="inlineStr">
        <is>
          <t>Jardim Olímpico · Rua Albatroz</t>
        </is>
      </c>
      <c r="G113" t="n">
        <v>324</v>
      </c>
      <c r="L113" t="n">
        <v>180000</v>
      </c>
      <c r="M113" t="inlineStr">
        <is>
          <t>VivaReal | id:2870375054</t>
        </is>
      </c>
      <c r="N113" t="inlineStr">
        <is>
          <t>Venda</t>
        </is>
      </c>
    </row>
    <row r="114">
      <c r="A114" t="inlineStr">
        <is>
          <t>2026-06-28</t>
        </is>
      </c>
      <c r="B114" t="inlineStr">
        <is>
          <t>vivareal.com.br</t>
        </is>
      </c>
      <c r="C114" t="inlineStr">
        <is>
          <t>VivaReal</t>
        </is>
      </c>
      <c r="E114" t="inlineStr">
        <is>
          <t>Terreno</t>
        </is>
      </c>
      <c r="F114" t="inlineStr">
        <is>
          <t>Jardim Ipanema · Rua Cantor Raul Seixas</t>
        </is>
      </c>
      <c r="G114" t="n">
        <v>288</v>
      </c>
      <c r="L114" t="n">
        <v>265000</v>
      </c>
      <c r="M114" t="inlineStr">
        <is>
          <t>VivaReal | id:2893749083</t>
        </is>
      </c>
      <c r="N114" t="inlineStr">
        <is>
          <t>Venda</t>
        </is>
      </c>
    </row>
    <row r="115">
      <c r="A115" t="inlineStr">
        <is>
          <t>2026-06-28</t>
        </is>
      </c>
      <c r="B115" t="inlineStr">
        <is>
          <t>vivareal.com.br</t>
        </is>
      </c>
      <c r="C115" t="inlineStr">
        <is>
          <t>VivaReal</t>
        </is>
      </c>
      <c r="E115" t="inlineStr">
        <is>
          <t>Terreno</t>
        </is>
      </c>
      <c r="F115" t="inlineStr">
        <is>
          <t>Jardim Munique · Avenida Mandacaru</t>
        </is>
      </c>
      <c r="G115" t="n">
        <v>446</v>
      </c>
      <c r="L115" t="n">
        <v>370000</v>
      </c>
      <c r="M115" t="inlineStr">
        <is>
          <t>VivaReal | id:2888832912</t>
        </is>
      </c>
      <c r="N115" t="inlineStr">
        <is>
          <t>Venda</t>
        </is>
      </c>
    </row>
    <row r="116">
      <c r="A116" t="inlineStr">
        <is>
          <t>2026-06-28</t>
        </is>
      </c>
      <c r="B116" t="inlineStr">
        <is>
          <t>vivareal.com.br</t>
        </is>
      </c>
      <c r="C116" t="inlineStr">
        <is>
          <t>VivaReal</t>
        </is>
      </c>
      <c r="E116" t="inlineStr">
        <is>
          <t>Casa</t>
        </is>
      </c>
      <c r="F116" t="inlineStr">
        <is>
          <t>Conjunto Habitacional Requião · Rua Amélia Henrique</t>
        </is>
      </c>
      <c r="G116" t="n">
        <v>78</v>
      </c>
      <c r="H116" t="n">
        <v>3</v>
      </c>
      <c r="K116" t="n">
        <v>2</v>
      </c>
      <c r="L116" t="n">
        <v>380000</v>
      </c>
      <c r="M116" t="inlineStr">
        <is>
          <t>VivaReal | id:2886950910</t>
        </is>
      </c>
      <c r="N116" t="inlineStr">
        <is>
          <t>Venda</t>
        </is>
      </c>
    </row>
    <row r="117">
      <c r="A117" t="inlineStr">
        <is>
          <t>2026-06-28</t>
        </is>
      </c>
      <c r="B117" t="inlineStr">
        <is>
          <t>vivareal.com.br</t>
        </is>
      </c>
      <c r="C117" t="inlineStr">
        <is>
          <t>VivaReal</t>
        </is>
      </c>
      <c r="E117" t="inlineStr">
        <is>
          <t>Apartamento</t>
        </is>
      </c>
      <c r="F117" t="inlineStr">
        <is>
          <t>Jardim Tropical · Rua Pequi</t>
        </is>
      </c>
      <c r="G117" t="n">
        <v>70</v>
      </c>
      <c r="H117" t="n">
        <v>2</v>
      </c>
      <c r="K117" t="n">
        <v>187</v>
      </c>
      <c r="L117" t="n">
        <v>295000</v>
      </c>
      <c r="M117" t="inlineStr">
        <is>
          <t>VivaReal | id:2892311983</t>
        </is>
      </c>
      <c r="N117" t="inlineStr">
        <is>
          <t>Venda</t>
        </is>
      </c>
    </row>
    <row r="118">
      <c r="A118" t="inlineStr">
        <is>
          <t>2026-06-28</t>
        </is>
      </c>
      <c r="B118" t="inlineStr">
        <is>
          <t>vivareal.com.br</t>
        </is>
      </c>
      <c r="C118" t="inlineStr">
        <is>
          <t>VivaReal</t>
        </is>
      </c>
      <c r="E118" t="inlineStr">
        <is>
          <t>Casa</t>
        </is>
      </c>
      <c r="F118" t="inlineStr">
        <is>
          <t>Jardim dos Pássaros · Rua Acauã</t>
        </is>
      </c>
      <c r="G118" t="n">
        <v>116</v>
      </c>
      <c r="H118" t="n">
        <v>2</v>
      </c>
      <c r="K118" t="n">
        <v>1</v>
      </c>
      <c r="L118" t="n">
        <v>465000</v>
      </c>
      <c r="M118" t="inlineStr">
        <is>
          <t>VivaReal | id:2894564296</t>
        </is>
      </c>
      <c r="N118" t="inlineStr">
        <is>
          <t>Venda</t>
        </is>
      </c>
    </row>
    <row r="119">
      <c r="A119" t="inlineStr">
        <is>
          <t>2026-06-28</t>
        </is>
      </c>
      <c r="B119" t="inlineStr">
        <is>
          <t>vivareal.com.br</t>
        </is>
      </c>
      <c r="C119" t="inlineStr">
        <is>
          <t>VivaReal</t>
        </is>
      </c>
      <c r="E119" t="inlineStr">
        <is>
          <t>Apartamento</t>
        </is>
      </c>
      <c r="F119" t="inlineStr">
        <is>
          <t>Jardim Iguaçu · Rua dos Gerânios</t>
        </is>
      </c>
      <c r="G119" t="n">
        <v>60</v>
      </c>
      <c r="H119" t="n">
        <v>2</v>
      </c>
      <c r="K119" t="n">
        <v>1</v>
      </c>
      <c r="L119" t="n">
        <v>495000</v>
      </c>
      <c r="M119" t="inlineStr">
        <is>
          <t>VivaReal | id:2833417932</t>
        </is>
      </c>
      <c r="N119" t="inlineStr">
        <is>
          <t>Venda</t>
        </is>
      </c>
    </row>
    <row r="120">
      <c r="A120" t="inlineStr">
        <is>
          <t>2026-06-28</t>
        </is>
      </c>
      <c r="B120" t="inlineStr">
        <is>
          <t>vivareal.com.br</t>
        </is>
      </c>
      <c r="C120" t="inlineStr">
        <is>
          <t>VivaReal</t>
        </is>
      </c>
      <c r="E120" t="inlineStr">
        <is>
          <t>Terreno</t>
        </is>
      </c>
      <c r="F120" t="inlineStr">
        <is>
          <t>Jardim Europa · Rua José Marques de Oliveira</t>
        </is>
      </c>
      <c r="G120" t="n">
        <v>400</v>
      </c>
      <c r="L120" t="n">
        <v>298000</v>
      </c>
      <c r="M120" t="inlineStr">
        <is>
          <t>VivaReal | id:2872780902</t>
        </is>
      </c>
      <c r="N120" t="inlineStr">
        <is>
          <t>Venda</t>
        </is>
      </c>
    </row>
    <row r="121">
      <c r="A121" t="inlineStr">
        <is>
          <t>2026-06-28</t>
        </is>
      </c>
      <c r="B121" t="inlineStr">
        <is>
          <t>vivareal.com.br</t>
        </is>
      </c>
      <c r="C121" t="inlineStr">
        <is>
          <t>VivaReal</t>
        </is>
      </c>
      <c r="E121" t="inlineStr">
        <is>
          <t>Casa</t>
        </is>
      </c>
      <c r="F121" t="inlineStr">
        <is>
          <t>Parque das Bandeiras · Rua das Seringueiras</t>
        </is>
      </c>
      <c r="G121" t="n">
        <v>127</v>
      </c>
      <c r="H121" t="n">
        <v>3</v>
      </c>
      <c r="K121" t="n">
        <v>2</v>
      </c>
      <c r="L121" t="n">
        <v>630000</v>
      </c>
      <c r="M121" t="inlineStr">
        <is>
          <t>VivaReal | id:2825361424</t>
        </is>
      </c>
      <c r="N121" t="inlineStr">
        <is>
          <t>Venda</t>
        </is>
      </c>
    </row>
    <row r="122">
      <c r="A122" t="inlineStr">
        <is>
          <t>2026-06-28</t>
        </is>
      </c>
      <c r="B122" t="inlineStr">
        <is>
          <t>vivareal.com.br</t>
        </is>
      </c>
      <c r="C122" t="inlineStr">
        <is>
          <t>VivaReal</t>
        </is>
      </c>
      <c r="E122" t="inlineStr">
        <is>
          <t>Terreno</t>
        </is>
      </c>
      <c r="F122" t="inlineStr">
        <is>
          <t>Conjunto Habitacional Requião · Rua Pioneiro Fortunato Borin</t>
        </is>
      </c>
      <c r="G122" t="n">
        <v>300</v>
      </c>
      <c r="L122" t="n">
        <v>220000</v>
      </c>
      <c r="M122" t="inlineStr">
        <is>
          <t>VivaReal | id:2873667400</t>
        </is>
      </c>
      <c r="N122" t="inlineStr">
        <is>
          <t>Venda</t>
        </is>
      </c>
    </row>
    <row r="123">
      <c r="A123" t="inlineStr">
        <is>
          <t>2026-06-28</t>
        </is>
      </c>
      <c r="B123" t="inlineStr">
        <is>
          <t>vivareal.com.br</t>
        </is>
      </c>
      <c r="C123" t="inlineStr">
        <is>
          <t>VivaReal</t>
        </is>
      </c>
      <c r="E123" t="inlineStr">
        <is>
          <t>Apartamento</t>
        </is>
      </c>
      <c r="F123" t="inlineStr">
        <is>
          <t>Vila Cleópatra · Rua Monsenhor Kimura</t>
        </is>
      </c>
      <c r="G123" t="n">
        <v>61</v>
      </c>
      <c r="H123" t="n">
        <v>3</v>
      </c>
      <c r="K123" t="n">
        <v>1</v>
      </c>
      <c r="L123" t="n">
        <v>260000</v>
      </c>
      <c r="M123" t="inlineStr">
        <is>
          <t>VivaReal | id:2894546594</t>
        </is>
      </c>
      <c r="N123" t="inlineStr">
        <is>
          <t>Venda</t>
        </is>
      </c>
    </row>
    <row r="124">
      <c r="A124" t="inlineStr">
        <is>
          <t>2026-06-28</t>
        </is>
      </c>
      <c r="B124" t="inlineStr">
        <is>
          <t>vivareal.com.br</t>
        </is>
      </c>
      <c r="C124" t="inlineStr">
        <is>
          <t>VivaReal</t>
        </is>
      </c>
      <c r="E124" t="inlineStr">
        <is>
          <t>Casa</t>
        </is>
      </c>
      <c r="F124" t="inlineStr">
        <is>
          <t>Jardim Alvorada · Rua Rio Grande do Norte</t>
        </is>
      </c>
      <c r="G124" t="n">
        <v>145</v>
      </c>
      <c r="H124" t="n">
        <v>3</v>
      </c>
      <c r="L124" t="n">
        <v>480000</v>
      </c>
      <c r="M124" t="inlineStr">
        <is>
          <t>VivaReal | id:2894774883</t>
        </is>
      </c>
      <c r="N124" t="inlineStr">
        <is>
          <t>Venda</t>
        </is>
      </c>
    </row>
    <row r="125">
      <c r="A125" t="inlineStr">
        <is>
          <t>2026-06-28</t>
        </is>
      </c>
      <c r="B125" t="inlineStr">
        <is>
          <t>vivareal.com.br</t>
        </is>
      </c>
      <c r="C125" t="inlineStr">
        <is>
          <t>VivaReal</t>
        </is>
      </c>
      <c r="E125" t="inlineStr">
        <is>
          <t>Casa</t>
        </is>
      </c>
      <c r="F125" t="inlineStr">
        <is>
          <t>Conjunto João de Barro Itaparica · Rua Porto Seguro</t>
        </is>
      </c>
      <c r="G125" t="n">
        <v>80</v>
      </c>
      <c r="H125" t="n">
        <v>3</v>
      </c>
      <c r="K125" t="n">
        <v>2</v>
      </c>
      <c r="L125" t="n">
        <v>399000</v>
      </c>
      <c r="M125" t="inlineStr">
        <is>
          <t>VivaReal | id:2886953698</t>
        </is>
      </c>
      <c r="N125" t="inlineStr">
        <is>
          <t>Venda</t>
        </is>
      </c>
    </row>
    <row r="126">
      <c r="A126" t="inlineStr">
        <is>
          <t>2026-06-28</t>
        </is>
      </c>
      <c r="B126" t="inlineStr">
        <is>
          <t>vivareal.com.br</t>
        </is>
      </c>
      <c r="C126" t="inlineStr">
        <is>
          <t>VivaReal</t>
        </is>
      </c>
      <c r="E126" t="inlineStr">
        <is>
          <t>Apartamento</t>
        </is>
      </c>
      <c r="F126" t="inlineStr">
        <is>
          <t>Vila Marumby · Rua Assunção</t>
        </is>
      </c>
      <c r="G126" t="n">
        <v>51</v>
      </c>
      <c r="H126" t="n">
        <v>2</v>
      </c>
      <c r="K126" t="n">
        <v>1</v>
      </c>
      <c r="L126" t="n">
        <v>255000</v>
      </c>
      <c r="M126" t="inlineStr">
        <is>
          <t>VivaReal | id:2894823724</t>
        </is>
      </c>
      <c r="N126" t="inlineStr">
        <is>
          <t>Venda</t>
        </is>
      </c>
    </row>
    <row r="127">
      <c r="A127" t="inlineStr">
        <is>
          <t>2026-06-28</t>
        </is>
      </c>
      <c r="B127" t="inlineStr">
        <is>
          <t>vivareal.com.br</t>
        </is>
      </c>
      <c r="C127" t="inlineStr">
        <is>
          <t>VivaReal</t>
        </is>
      </c>
      <c r="E127" t="inlineStr">
        <is>
          <t>Casa</t>
        </is>
      </c>
      <c r="F127" t="inlineStr">
        <is>
          <t>Jardim Tóquio · Rua Pioneiro Nereu Mazzer</t>
        </is>
      </c>
      <c r="G127" t="n">
        <v>99</v>
      </c>
      <c r="H127" t="n">
        <v>3</v>
      </c>
      <c r="L127" t="n">
        <v>600000</v>
      </c>
      <c r="M127" t="inlineStr">
        <is>
          <t>VivaReal | id:2881481286</t>
        </is>
      </c>
      <c r="N127" t="inlineStr">
        <is>
          <t>Venda</t>
        </is>
      </c>
    </row>
    <row r="128">
      <c r="A128" t="inlineStr">
        <is>
          <t>2026-06-28</t>
        </is>
      </c>
      <c r="B128" t="inlineStr">
        <is>
          <t>vivareal.com.br</t>
        </is>
      </c>
      <c r="C128" t="inlineStr">
        <is>
          <t>VivaReal</t>
        </is>
      </c>
      <c r="E128" t="inlineStr">
        <is>
          <t>Sobrado</t>
        </is>
      </c>
      <c r="F128" t="inlineStr">
        <is>
          <t>Zona 07 · Rua Padre Vieira</t>
        </is>
      </c>
      <c r="G128" t="n">
        <v>208</v>
      </c>
      <c r="H128" t="n">
        <v>4</v>
      </c>
      <c r="L128" t="n">
        <v>690000</v>
      </c>
      <c r="M128" t="inlineStr">
        <is>
          <t>VivaReal | id:2892257202</t>
        </is>
      </c>
      <c r="N128" t="inlineStr">
        <is>
          <t>Venda</t>
        </is>
      </c>
    </row>
    <row r="129">
      <c r="A129" t="inlineStr">
        <is>
          <t>2026-06-28</t>
        </is>
      </c>
      <c r="B129" t="inlineStr">
        <is>
          <t>vivareal.com.br</t>
        </is>
      </c>
      <c r="C129" t="inlineStr">
        <is>
          <t>VivaReal</t>
        </is>
      </c>
      <c r="E129" t="inlineStr">
        <is>
          <t>Terreno</t>
        </is>
      </c>
      <c r="F129" t="inlineStr">
        <is>
          <t>Conjunto João de Barro I · Rua Pioneira Gertrude Heck Fritzen</t>
        </is>
      </c>
      <c r="G129" t="n">
        <v>313</v>
      </c>
      <c r="L129" t="n">
        <v>300000</v>
      </c>
      <c r="M129" t="inlineStr">
        <is>
          <t>VivaReal | id:2894971228</t>
        </is>
      </c>
      <c r="N129" t="inlineStr">
        <is>
          <t>Venda</t>
        </is>
      </c>
    </row>
    <row r="130">
      <c r="A130" t="inlineStr">
        <is>
          <t>2026-06-28</t>
        </is>
      </c>
      <c r="B130" t="inlineStr">
        <is>
          <t>vivareal.com.br</t>
        </is>
      </c>
      <c r="C130" t="inlineStr">
        <is>
          <t>VivaReal</t>
        </is>
      </c>
      <c r="E130" t="inlineStr">
        <is>
          <t>Casa</t>
        </is>
      </c>
      <c r="F130" t="inlineStr">
        <is>
          <t>Jardim Diamante · Rua Pioneira Rosa Esteves Gusmão</t>
        </is>
      </c>
      <c r="G130" t="n">
        <v>115</v>
      </c>
      <c r="H130" t="n">
        <v>2</v>
      </c>
      <c r="K130" t="n">
        <v>5</v>
      </c>
      <c r="L130" t="n">
        <v>390000</v>
      </c>
      <c r="M130" t="inlineStr">
        <is>
          <t>VivaReal | id:2892653376</t>
        </is>
      </c>
      <c r="N130" t="inlineStr">
        <is>
          <t>Venda</t>
        </is>
      </c>
    </row>
    <row r="131">
      <c r="A131" t="inlineStr">
        <is>
          <t>2026-06-28</t>
        </is>
      </c>
      <c r="B131" t="inlineStr">
        <is>
          <t>vivareal.com.br</t>
        </is>
      </c>
      <c r="C131" t="inlineStr">
        <is>
          <t>VivaReal</t>
        </is>
      </c>
      <c r="E131" t="inlineStr">
        <is>
          <t>Apartamento</t>
        </is>
      </c>
      <c r="F131" t="inlineStr">
        <is>
          <t>Parque Industrial · Rua Rubens Sebastião Marin</t>
        </is>
      </c>
      <c r="G131" t="n">
        <v>79</v>
      </c>
      <c r="H131" t="n">
        <v>3</v>
      </c>
      <c r="K131" t="n">
        <v>2</v>
      </c>
      <c r="L131" t="n">
        <v>366455</v>
      </c>
      <c r="M131" t="inlineStr">
        <is>
          <t>VivaReal | id:2894911092</t>
        </is>
      </c>
      <c r="N131" t="inlineStr">
        <is>
          <t>Venda</t>
        </is>
      </c>
    </row>
    <row r="132">
      <c r="A132" t="inlineStr">
        <is>
          <t>2026-06-28</t>
        </is>
      </c>
      <c r="B132" t="inlineStr">
        <is>
          <t>vivareal.com.br</t>
        </is>
      </c>
      <c r="C132" t="inlineStr">
        <is>
          <t>VivaReal</t>
        </is>
      </c>
      <c r="E132" t="inlineStr">
        <is>
          <t>Casa</t>
        </is>
      </c>
      <c r="F132" t="inlineStr">
        <is>
          <t>Vila Nevada · Rua Josefa Ruiz Vellasco</t>
        </is>
      </c>
      <c r="G132" t="n">
        <v>105</v>
      </c>
      <c r="H132" t="n">
        <v>3</v>
      </c>
      <c r="K132" t="n">
        <v>2</v>
      </c>
      <c r="L132" t="n">
        <v>450000</v>
      </c>
      <c r="M132" t="inlineStr">
        <is>
          <t>VivaReal | id:2893708211</t>
        </is>
      </c>
      <c r="N132" t="inlineStr">
        <is>
          <t>Venda</t>
        </is>
      </c>
    </row>
    <row r="133">
      <c r="A133" t="inlineStr">
        <is>
          <t>2026-06-28</t>
        </is>
      </c>
      <c r="B133" t="inlineStr">
        <is>
          <t>vivareal.com.br</t>
        </is>
      </c>
      <c r="C133" t="inlineStr">
        <is>
          <t>VivaReal</t>
        </is>
      </c>
      <c r="E133" t="inlineStr">
        <is>
          <t>Terreno</t>
        </is>
      </c>
      <c r="F133" t="inlineStr">
        <is>
          <t>Jardim Michelangelo · Rua Nelson de Britto</t>
        </is>
      </c>
      <c r="G133" t="n">
        <v>300</v>
      </c>
      <c r="L133" t="n">
        <v>450300</v>
      </c>
      <c r="M133" t="inlineStr">
        <is>
          <t>VivaReal | id:2892314373</t>
        </is>
      </c>
      <c r="N133" t="inlineStr">
        <is>
          <t>Venda</t>
        </is>
      </c>
    </row>
    <row r="134">
      <c r="A134" t="inlineStr">
        <is>
          <t>2026-06-28</t>
        </is>
      </c>
      <c r="B134" t="inlineStr">
        <is>
          <t>vivareal.com.br</t>
        </is>
      </c>
      <c r="C134" t="inlineStr">
        <is>
          <t>VivaReal</t>
        </is>
      </c>
      <c r="E134" t="inlineStr">
        <is>
          <t>Casa</t>
        </is>
      </c>
      <c r="F134" t="inlineStr">
        <is>
          <t>Parque Tarumã · Rua Carlos Maurício Duarte</t>
        </is>
      </c>
      <c r="G134" t="n">
        <v>72</v>
      </c>
      <c r="H134" t="n">
        <v>3</v>
      </c>
      <c r="K134" t="n">
        <v>1</v>
      </c>
      <c r="L134" t="n">
        <v>350000</v>
      </c>
      <c r="M134" t="inlineStr">
        <is>
          <t>VivaReal | id:2895162998</t>
        </is>
      </c>
      <c r="N134" t="inlineStr">
        <is>
          <t>Venda</t>
        </is>
      </c>
    </row>
    <row r="135">
      <c r="A135" t="inlineStr">
        <is>
          <t>2026-06-28</t>
        </is>
      </c>
      <c r="B135" t="inlineStr">
        <is>
          <t>vivareal.com.br</t>
        </is>
      </c>
      <c r="C135" t="inlineStr">
        <is>
          <t>VivaReal</t>
        </is>
      </c>
      <c r="E135" t="inlineStr">
        <is>
          <t>Sobrado</t>
        </is>
      </c>
      <c r="F135" t="inlineStr">
        <is>
          <t>Chácara Paulista · Rua Distrito Federal</t>
        </is>
      </c>
      <c r="G135" t="n">
        <v>134</v>
      </c>
      <c r="H135" t="n">
        <v>3</v>
      </c>
      <c r="K135" t="n">
        <v>2</v>
      </c>
      <c r="L135" t="n">
        <v>570000</v>
      </c>
      <c r="M135" t="inlineStr">
        <is>
          <t>VivaReal | id:2871912298</t>
        </is>
      </c>
      <c r="N135" t="inlineStr">
        <is>
          <t>Venda</t>
        </is>
      </c>
    </row>
    <row r="136">
      <c r="A136" t="inlineStr">
        <is>
          <t>2026-06-28</t>
        </is>
      </c>
      <c r="B136" t="inlineStr">
        <is>
          <t>vivareal.com.br</t>
        </is>
      </c>
      <c r="C136" t="inlineStr">
        <is>
          <t>VivaReal</t>
        </is>
      </c>
      <c r="E136" t="inlineStr">
        <is>
          <t>Casa</t>
        </is>
      </c>
      <c r="F136" t="inlineStr">
        <is>
          <t>Parque da Gávea · Rua Pioneiro José Lourenço dos Santos</t>
        </is>
      </c>
      <c r="G136" t="n">
        <v>100</v>
      </c>
      <c r="H136" t="n">
        <v>2</v>
      </c>
      <c r="K136" t="n">
        <v>2</v>
      </c>
      <c r="L136" t="n">
        <v>410000</v>
      </c>
      <c r="M136" t="inlineStr">
        <is>
          <t>VivaReal | id:2891636977</t>
        </is>
      </c>
      <c r="N136" t="inlineStr">
        <is>
          <t>Venda</t>
        </is>
      </c>
    </row>
    <row r="137">
      <c r="A137" t="inlineStr">
        <is>
          <t>2026-06-28</t>
        </is>
      </c>
      <c r="B137" t="inlineStr">
        <is>
          <t>vivareal.com.br</t>
        </is>
      </c>
      <c r="C137" t="inlineStr">
        <is>
          <t>VivaReal</t>
        </is>
      </c>
      <c r="E137" t="inlineStr">
        <is>
          <t>Apartamento</t>
        </is>
      </c>
      <c r="F137" t="inlineStr">
        <is>
          <t>Zona 01 · Rua Neo Alves Martins</t>
        </is>
      </c>
      <c r="G137" t="n">
        <v>36</v>
      </c>
      <c r="H137" t="n">
        <v>1</v>
      </c>
      <c r="K137" t="n">
        <v>1</v>
      </c>
      <c r="L137" t="n">
        <v>210000</v>
      </c>
      <c r="M137" t="inlineStr">
        <is>
          <t>VivaReal | id:2895135081</t>
        </is>
      </c>
      <c r="N137" t="inlineStr">
        <is>
          <t>Venda</t>
        </is>
      </c>
    </row>
    <row r="138">
      <c r="A138" t="inlineStr">
        <is>
          <t>2026-06-28</t>
        </is>
      </c>
      <c r="B138" t="inlineStr">
        <is>
          <t>vivareal.com.br</t>
        </is>
      </c>
      <c r="C138" t="inlineStr">
        <is>
          <t>VivaReal</t>
        </is>
      </c>
      <c r="E138" t="inlineStr">
        <is>
          <t>Casa</t>
        </is>
      </c>
      <c r="F138" t="inlineStr">
        <is>
          <t>Jardim Pinheiros III · Rua Cuba</t>
        </is>
      </c>
      <c r="G138" t="n">
        <v>79</v>
      </c>
      <c r="H138" t="n">
        <v>3</v>
      </c>
      <c r="L138" t="n">
        <v>339000</v>
      </c>
      <c r="M138" t="inlineStr">
        <is>
          <t>VivaReal | id:2885435301</t>
        </is>
      </c>
      <c r="N138" t="inlineStr">
        <is>
          <t>Venda</t>
        </is>
      </c>
    </row>
    <row r="139">
      <c r="A139" t="inlineStr">
        <is>
          <t>2026-06-28</t>
        </is>
      </c>
      <c r="B139" t="inlineStr">
        <is>
          <t>vivareal.com.br</t>
        </is>
      </c>
      <c r="C139" t="inlineStr">
        <is>
          <t>VivaReal</t>
        </is>
      </c>
      <c r="E139" t="inlineStr">
        <is>
          <t>Casa</t>
        </is>
      </c>
      <c r="F139" t="inlineStr">
        <is>
          <t>Conjunto Residencial Paulino Carlos Filho · Rua Rio Amazonas</t>
        </is>
      </c>
      <c r="G139" t="n">
        <v>79</v>
      </c>
      <c r="H139" t="n">
        <v>3</v>
      </c>
      <c r="K139" t="n">
        <v>2</v>
      </c>
      <c r="L139" t="n">
        <v>385000</v>
      </c>
      <c r="M139" t="inlineStr">
        <is>
          <t>VivaReal | id:2881302983</t>
        </is>
      </c>
      <c r="N139" t="inlineStr">
        <is>
          <t>Venda</t>
        </is>
      </c>
    </row>
    <row r="140">
      <c r="A140" t="inlineStr">
        <is>
          <t>2026-06-28</t>
        </is>
      </c>
      <c r="B140" t="inlineStr">
        <is>
          <t>vivareal.com.br</t>
        </is>
      </c>
      <c r="C140" t="inlineStr">
        <is>
          <t>VivaReal</t>
        </is>
      </c>
      <c r="E140" t="inlineStr">
        <is>
          <t>Terreno</t>
        </is>
      </c>
      <c r="F140" t="inlineStr">
        <is>
          <t>Jardim Olímpico · Avenida Naihma Name</t>
        </is>
      </c>
      <c r="G140" t="n">
        <v>210</v>
      </c>
      <c r="L140" t="n">
        <v>195000</v>
      </c>
      <c r="M140" t="inlineStr">
        <is>
          <t>VivaReal | id:2886955276</t>
        </is>
      </c>
      <c r="N140" t="inlineStr">
        <is>
          <t>Venda</t>
        </is>
      </c>
    </row>
    <row r="141">
      <c r="A141" t="inlineStr">
        <is>
          <t>2026-06-28</t>
        </is>
      </c>
      <c r="B141" t="inlineStr">
        <is>
          <t>vivareal.com.br</t>
        </is>
      </c>
      <c r="C141" t="inlineStr">
        <is>
          <t>VivaReal</t>
        </is>
      </c>
      <c r="E141" t="inlineStr">
        <is>
          <t>Casa</t>
        </is>
      </c>
      <c r="F141" t="inlineStr">
        <is>
          <t>Loteamento Sumaré · Rua Maria Bertolina Carolino</t>
        </is>
      </c>
      <c r="G141" t="n">
        <v>103</v>
      </c>
      <c r="H141" t="n">
        <v>3</v>
      </c>
      <c r="K141" t="n">
        <v>2</v>
      </c>
      <c r="L141" t="n">
        <v>480000</v>
      </c>
      <c r="M141" t="inlineStr">
        <is>
          <t>VivaReal | id:2814869617</t>
        </is>
      </c>
      <c r="N141" t="inlineStr">
        <is>
          <t>Venda</t>
        </is>
      </c>
    </row>
    <row r="142">
      <c r="A142" t="inlineStr">
        <is>
          <t>2026-06-28</t>
        </is>
      </c>
      <c r="B142" t="inlineStr">
        <is>
          <t>vivareal.com.br</t>
        </is>
      </c>
      <c r="C142" t="inlineStr">
        <is>
          <t>VivaReal</t>
        </is>
      </c>
      <c r="E142" t="inlineStr">
        <is>
          <t>Terreno</t>
        </is>
      </c>
      <c r="F142" t="inlineStr">
        <is>
          <t>Zona 07 · Rua Manoel de Macedo</t>
        </is>
      </c>
      <c r="G142" t="n">
        <v>131</v>
      </c>
      <c r="H142" t="n">
        <v>4</v>
      </c>
      <c r="K142" t="n">
        <v>8</v>
      </c>
      <c r="L142" t="n">
        <v>580000</v>
      </c>
      <c r="M142" t="inlineStr">
        <is>
          <t>VivaReal | id:2824430225</t>
        </is>
      </c>
      <c r="N142" t="inlineStr">
        <is>
          <t>Venda</t>
        </is>
      </c>
    </row>
    <row r="143">
      <c r="A143" t="inlineStr">
        <is>
          <t>2026-06-28</t>
        </is>
      </c>
      <c r="B143" t="inlineStr">
        <is>
          <t>vivareal.com.br</t>
        </is>
      </c>
      <c r="C143" t="inlineStr">
        <is>
          <t>VivaReal</t>
        </is>
      </c>
      <c r="E143" t="inlineStr">
        <is>
          <t>Terreno</t>
        </is>
      </c>
      <c r="F143" t="inlineStr">
        <is>
          <t>Jardim Dias II · Rua José Carlos Paixão</t>
        </is>
      </c>
      <c r="G143" t="n">
        <v>174</v>
      </c>
      <c r="L143" t="n">
        <v>140000</v>
      </c>
      <c r="M143" t="inlineStr">
        <is>
          <t>VivaReal | id:2882737293</t>
        </is>
      </c>
      <c r="N143" t="inlineStr">
        <is>
          <t>Venda</t>
        </is>
      </c>
    </row>
    <row r="144">
      <c r="A144" t="inlineStr">
        <is>
          <t>2026-06-28</t>
        </is>
      </c>
      <c r="B144" t="inlineStr">
        <is>
          <t>vivareal.com.br</t>
        </is>
      </c>
      <c r="C144" t="inlineStr">
        <is>
          <t>VivaReal</t>
        </is>
      </c>
      <c r="E144" t="inlineStr">
        <is>
          <t>Casa</t>
        </is>
      </c>
      <c r="F144" t="inlineStr">
        <is>
          <t>Jardim América · Rua Sérgio Bittencourt</t>
        </is>
      </c>
      <c r="G144" t="n">
        <v>120</v>
      </c>
      <c r="H144" t="n">
        <v>3</v>
      </c>
      <c r="K144" t="n">
        <v>5</v>
      </c>
      <c r="L144" t="n">
        <v>480000</v>
      </c>
      <c r="M144" t="inlineStr">
        <is>
          <t>VivaReal | id:2866595466</t>
        </is>
      </c>
      <c r="N144" t="inlineStr">
        <is>
          <t>Venda</t>
        </is>
      </c>
    </row>
    <row r="145">
      <c r="A145" t="inlineStr">
        <is>
          <t>2026-06-28</t>
        </is>
      </c>
      <c r="B145" t="inlineStr">
        <is>
          <t>vivareal.com.br</t>
        </is>
      </c>
      <c r="C145" t="inlineStr">
        <is>
          <t>VivaReal</t>
        </is>
      </c>
      <c r="E145" t="inlineStr">
        <is>
          <t>Terreno</t>
        </is>
      </c>
      <c r="F145" t="inlineStr">
        <is>
          <t>Parque Residencial Patrícia · Rua Pioneiro Antonio Allai</t>
        </is>
      </c>
      <c r="G145" t="n">
        <v>391</v>
      </c>
      <c r="L145" t="n">
        <v>285000</v>
      </c>
      <c r="M145" t="inlineStr">
        <is>
          <t>VivaReal | id:2872777309</t>
        </is>
      </c>
      <c r="N145" t="inlineStr">
        <is>
          <t>Venda</t>
        </is>
      </c>
    </row>
    <row r="146">
      <c r="A146" t="inlineStr">
        <is>
          <t>2026-06-28</t>
        </is>
      </c>
      <c r="B146" t="inlineStr">
        <is>
          <t>vivareal.com.br</t>
        </is>
      </c>
      <c r="C146" t="inlineStr">
        <is>
          <t>VivaReal</t>
        </is>
      </c>
      <c r="E146" t="inlineStr">
        <is>
          <t>Terreno</t>
        </is>
      </c>
      <c r="F146" t="inlineStr">
        <is>
          <t>Jardim Michelangelo · 5º Alto Pioneiro José Tel</t>
        </is>
      </c>
      <c r="G146" t="n">
        <v>400</v>
      </c>
      <c r="L146" t="n">
        <v>681122</v>
      </c>
      <c r="M146" t="inlineStr">
        <is>
          <t>VivaReal | id:2892313791</t>
        </is>
      </c>
      <c r="N146" t="inlineStr">
        <is>
          <t>Venda</t>
        </is>
      </c>
    </row>
    <row r="147">
      <c r="A147" t="inlineStr">
        <is>
          <t>2026-06-28</t>
        </is>
      </c>
      <c r="B147" t="inlineStr">
        <is>
          <t>vivareal.com.br</t>
        </is>
      </c>
      <c r="C147" t="inlineStr">
        <is>
          <t>VivaReal</t>
        </is>
      </c>
      <c r="E147" t="inlineStr">
        <is>
          <t>Terreno</t>
        </is>
      </c>
      <c r="F147" t="inlineStr">
        <is>
          <t>Jardim Dias I · Rua Pioneiro Antônio de Ganello</t>
        </is>
      </c>
      <c r="G147" t="n">
        <v>320</v>
      </c>
      <c r="L147" t="n">
        <v>330000</v>
      </c>
      <c r="M147" t="inlineStr">
        <is>
          <t>VivaReal | id:2821103267</t>
        </is>
      </c>
      <c r="N147" t="inlineStr">
        <is>
          <t>Venda</t>
        </is>
      </c>
    </row>
    <row r="148">
      <c r="A148" t="inlineStr">
        <is>
          <t>2026-06-28</t>
        </is>
      </c>
      <c r="B148" t="inlineStr">
        <is>
          <t>vivareal.com.br</t>
        </is>
      </c>
      <c r="C148" t="inlineStr">
        <is>
          <t>VivaReal</t>
        </is>
      </c>
      <c r="E148" t="inlineStr">
        <is>
          <t>Terreno</t>
        </is>
      </c>
      <c r="F148" t="inlineStr">
        <is>
          <t>Conjunto Residencial Ney Braga · Rua Gralha azul</t>
        </is>
      </c>
      <c r="G148" t="n">
        <v>370</v>
      </c>
      <c r="L148" t="n">
        <v>315061</v>
      </c>
      <c r="M148" t="inlineStr">
        <is>
          <t>VivaReal | id:2757749424</t>
        </is>
      </c>
      <c r="N148" t="inlineStr">
        <is>
          <t>Venda</t>
        </is>
      </c>
    </row>
    <row r="149">
      <c r="A149" t="inlineStr">
        <is>
          <t>2026-06-28</t>
        </is>
      </c>
      <c r="B149" t="inlineStr">
        <is>
          <t>vivareal.com.br</t>
        </is>
      </c>
      <c r="C149" t="inlineStr">
        <is>
          <t>VivaReal</t>
        </is>
      </c>
      <c r="E149" t="inlineStr">
        <is>
          <t>Casa</t>
        </is>
      </c>
      <c r="F149" t="inlineStr">
        <is>
          <t>Jardim América · Rua Auto Curti</t>
        </is>
      </c>
      <c r="G149" t="n">
        <v>100</v>
      </c>
      <c r="H149" t="n">
        <v>3</v>
      </c>
      <c r="K149" t="n">
        <v>2</v>
      </c>
      <c r="L149" t="n">
        <v>369000</v>
      </c>
      <c r="M149" t="inlineStr">
        <is>
          <t>VivaReal | id:2881053974</t>
        </is>
      </c>
      <c r="N149" t="inlineStr">
        <is>
          <t>Venda</t>
        </is>
      </c>
    </row>
    <row r="150">
      <c r="A150" t="inlineStr">
        <is>
          <t>2026-06-28</t>
        </is>
      </c>
      <c r="B150" t="inlineStr">
        <is>
          <t>vivareal.com.br</t>
        </is>
      </c>
      <c r="C150" t="inlineStr">
        <is>
          <t>VivaReal</t>
        </is>
      </c>
      <c r="E150" t="inlineStr">
        <is>
          <t>Terreno</t>
        </is>
      </c>
      <c r="F150" t="inlineStr">
        <is>
          <t>Jardim Hanover · Avenida Pioneiro Maurício Mariani</t>
        </is>
      </c>
      <c r="G150" t="n">
        <v>480</v>
      </c>
      <c r="L150" t="n">
        <v>465148</v>
      </c>
      <c r="M150" t="inlineStr">
        <is>
          <t>VivaReal | id:2893539922</t>
        </is>
      </c>
      <c r="N150" t="inlineStr">
        <is>
          <t>Venda</t>
        </is>
      </c>
    </row>
    <row r="151">
      <c r="A151" t="inlineStr">
        <is>
          <t>2026-06-28</t>
        </is>
      </c>
      <c r="B151" t="inlineStr">
        <is>
          <t>vivareal.com.br</t>
        </is>
      </c>
      <c r="C151" t="inlineStr">
        <is>
          <t>VivaReal</t>
        </is>
      </c>
      <c r="E151" t="inlineStr">
        <is>
          <t>Terreno</t>
        </is>
      </c>
      <c r="F151" t="inlineStr">
        <is>
          <t>Jardim Michelangelo · 5º Alto Pioneiro José Tel</t>
        </is>
      </c>
      <c r="G151" t="n">
        <v>400</v>
      </c>
      <c r="L151" t="n">
        <v>681122</v>
      </c>
      <c r="M151" t="inlineStr">
        <is>
          <t>VivaReal | id:2892313492</t>
        </is>
      </c>
      <c r="N151" t="inlineStr">
        <is>
          <t>Venda</t>
        </is>
      </c>
    </row>
    <row r="152">
      <c r="A152" t="inlineStr">
        <is>
          <t>2026-06-28</t>
        </is>
      </c>
      <c r="B152" t="inlineStr">
        <is>
          <t>vivareal.com.br</t>
        </is>
      </c>
      <c r="C152" t="inlineStr">
        <is>
          <t>VivaReal</t>
        </is>
      </c>
      <c r="E152" t="inlineStr">
        <is>
          <t>Terreno</t>
        </is>
      </c>
      <c r="F152" t="inlineStr">
        <is>
          <t>Jardim Santa Alice · Rua José Bergamasco</t>
        </is>
      </c>
      <c r="G152" t="n">
        <v>260</v>
      </c>
      <c r="L152" t="n">
        <v>250000</v>
      </c>
      <c r="M152" t="inlineStr">
        <is>
          <t>VivaReal | id:2800674428</t>
        </is>
      </c>
      <c r="N152" t="inlineStr">
        <is>
          <t>Venda</t>
        </is>
      </c>
    </row>
    <row r="153">
      <c r="A153" t="inlineStr">
        <is>
          <t>2026-06-28</t>
        </is>
      </c>
      <c r="B153" t="inlineStr">
        <is>
          <t>vivareal.com.br</t>
        </is>
      </c>
      <c r="C153" t="inlineStr">
        <is>
          <t>VivaReal</t>
        </is>
      </c>
      <c r="E153" t="inlineStr">
        <is>
          <t>Terreno</t>
        </is>
      </c>
      <c r="F153" t="inlineStr">
        <is>
          <t>Jardim Everest · Avenida Deputado José Alves dos Santos</t>
        </is>
      </c>
      <c r="G153" t="n">
        <v>343</v>
      </c>
      <c r="L153" t="n">
        <v>450000</v>
      </c>
      <c r="M153" t="inlineStr">
        <is>
          <t>VivaReal | id:2875026432</t>
        </is>
      </c>
      <c r="N153" t="inlineStr">
        <is>
          <t>Venda</t>
        </is>
      </c>
    </row>
    <row r="154">
      <c r="A154" t="inlineStr">
        <is>
          <t>2026-06-28</t>
        </is>
      </c>
      <c r="B154" t="inlineStr">
        <is>
          <t>vivareal.com.br</t>
        </is>
      </c>
      <c r="C154" t="inlineStr">
        <is>
          <t>VivaReal</t>
        </is>
      </c>
      <c r="E154" t="inlineStr">
        <is>
          <t>Terreno</t>
        </is>
      </c>
      <c r="F154" t="inlineStr">
        <is>
          <t>Jardim Brasil · Avenida Deputado José Alves dos Santos</t>
        </is>
      </c>
      <c r="G154" t="n">
        <v>379</v>
      </c>
      <c r="L154" t="n">
        <v>400000</v>
      </c>
      <c r="M154" t="inlineStr">
        <is>
          <t>VivaReal | id:2875025020</t>
        </is>
      </c>
      <c r="N154" t="inlineStr">
        <is>
          <t>Venda</t>
        </is>
      </c>
    </row>
    <row r="155">
      <c r="A155" t="inlineStr">
        <is>
          <t>2026-06-28</t>
        </is>
      </c>
      <c r="B155" t="inlineStr">
        <is>
          <t>vivareal.com.br</t>
        </is>
      </c>
      <c r="C155" t="inlineStr">
        <is>
          <t>VivaReal</t>
        </is>
      </c>
      <c r="E155" t="inlineStr">
        <is>
          <t>Terreno</t>
        </is>
      </c>
      <c r="F155" t="inlineStr">
        <is>
          <t>Residencial Arezzo · Avenida Juvêncio Barbosa Silveira</t>
        </is>
      </c>
      <c r="G155" t="n">
        <v>200</v>
      </c>
      <c r="L155" t="n">
        <v>135000</v>
      </c>
      <c r="M155" t="inlineStr">
        <is>
          <t>VivaReal | id:2872781792</t>
        </is>
      </c>
      <c r="N155" t="inlineStr">
        <is>
          <t>Venda</t>
        </is>
      </c>
    </row>
    <row r="156">
      <c r="A156" t="inlineStr">
        <is>
          <t>2026-06-28</t>
        </is>
      </c>
      <c r="B156" t="inlineStr">
        <is>
          <t>vivareal.com.br</t>
        </is>
      </c>
      <c r="C156" t="inlineStr">
        <is>
          <t>VivaReal</t>
        </is>
      </c>
      <c r="E156" t="inlineStr">
        <is>
          <t>Terreno</t>
        </is>
      </c>
      <c r="F156" t="inlineStr">
        <is>
          <t>Jardim Colina Verde</t>
        </is>
      </c>
      <c r="G156" t="n">
        <v>200</v>
      </c>
      <c r="L156" t="n">
        <v>180000</v>
      </c>
      <c r="M156" t="inlineStr">
        <is>
          <t>VivaReal | id:2877216478</t>
        </is>
      </c>
      <c r="N156" t="inlineStr">
        <is>
          <t>Venda</t>
        </is>
      </c>
    </row>
    <row r="157">
      <c r="A157" t="inlineStr">
        <is>
          <t>2026-06-28</t>
        </is>
      </c>
      <c r="B157" t="inlineStr">
        <is>
          <t>vivareal.com.br</t>
        </is>
      </c>
      <c r="C157" t="inlineStr">
        <is>
          <t>VivaReal</t>
        </is>
      </c>
      <c r="E157" t="inlineStr">
        <is>
          <t>Casa</t>
        </is>
      </c>
      <c r="F157" t="inlineStr">
        <is>
          <t>Jardim Universo · Rua Joaquim Mendonça</t>
        </is>
      </c>
      <c r="G157" t="n">
        <v>105</v>
      </c>
      <c r="H157" t="n">
        <v>3</v>
      </c>
      <c r="K157" t="n">
        <v>3</v>
      </c>
      <c r="L157" t="n">
        <v>500000</v>
      </c>
      <c r="M157" t="inlineStr">
        <is>
          <t>VivaReal | id:2825361528</t>
        </is>
      </c>
      <c r="N157" t="inlineStr">
        <is>
          <t>Venda</t>
        </is>
      </c>
    </row>
    <row r="158">
      <c r="A158" t="inlineStr">
        <is>
          <t>2026-06-28</t>
        </is>
      </c>
      <c r="B158" t="inlineStr">
        <is>
          <t>vivareal.com.br</t>
        </is>
      </c>
      <c r="C158" t="inlineStr">
        <is>
          <t>VivaReal</t>
        </is>
      </c>
      <c r="E158" t="inlineStr">
        <is>
          <t>Imóvel Comercial</t>
        </is>
      </c>
      <c r="F158" t="inlineStr">
        <is>
          <t>Jardim Colina Verde II · Rua Pioneira Leonarda Garcia Coelho</t>
        </is>
      </c>
      <c r="G158" t="n">
        <v>120</v>
      </c>
      <c r="H158" t="n">
        <v>1</v>
      </c>
      <c r="L158" t="n">
        <v>360000</v>
      </c>
      <c r="M158" t="inlineStr">
        <is>
          <t>VivaReal | id:2886955080</t>
        </is>
      </c>
      <c r="N158" t="inlineStr">
        <is>
          <t>Venda</t>
        </is>
      </c>
    </row>
    <row r="159">
      <c r="A159" t="inlineStr">
        <is>
          <t>2026-06-28</t>
        </is>
      </c>
      <c r="B159" t="inlineStr">
        <is>
          <t>vivareal.com.br</t>
        </is>
      </c>
      <c r="C159" t="inlineStr">
        <is>
          <t>VivaReal</t>
        </is>
      </c>
      <c r="E159" t="inlineStr">
        <is>
          <t>Terreno</t>
        </is>
      </c>
      <c r="F159" t="inlineStr">
        <is>
          <t>Jardim Pilar · Rua Victoria Vecchi</t>
        </is>
      </c>
      <c r="G159" t="n">
        <v>412</v>
      </c>
      <c r="L159" t="n">
        <v>400000</v>
      </c>
      <c r="M159" t="inlineStr">
        <is>
          <t>VivaReal | id:2836923914</t>
        </is>
      </c>
      <c r="N159" t="inlineStr">
        <is>
          <t>Venda</t>
        </is>
      </c>
    </row>
    <row r="160">
      <c r="A160" t="inlineStr">
        <is>
          <t>2026-06-28</t>
        </is>
      </c>
      <c r="B160" t="inlineStr">
        <is>
          <t>vivareal.com.br</t>
        </is>
      </c>
      <c r="C160" t="inlineStr">
        <is>
          <t>VivaReal</t>
        </is>
      </c>
      <c r="E160" t="inlineStr">
        <is>
          <t>Casa</t>
        </is>
      </c>
      <c r="F160" t="inlineStr">
        <is>
          <t>Conjunto Habitacional Sol Nascente · Rua Pioneira Maria Batista de Souza Neves</t>
        </is>
      </c>
      <c r="G160" t="n">
        <v>105</v>
      </c>
      <c r="H160" t="n">
        <v>3</v>
      </c>
      <c r="K160" t="n">
        <v>2</v>
      </c>
      <c r="L160" t="n">
        <v>425000</v>
      </c>
      <c r="M160" t="inlineStr">
        <is>
          <t>VivaReal | id:2874840698</t>
        </is>
      </c>
      <c r="N160" t="inlineStr">
        <is>
          <t>Venda</t>
        </is>
      </c>
    </row>
    <row r="161">
      <c r="A161" t="inlineStr">
        <is>
          <t>2026-06-28</t>
        </is>
      </c>
      <c r="B161" t="inlineStr">
        <is>
          <t>vivareal.com.br</t>
        </is>
      </c>
      <c r="C161" t="inlineStr">
        <is>
          <t>VivaReal</t>
        </is>
      </c>
      <c r="E161" t="inlineStr">
        <is>
          <t>Terreno</t>
        </is>
      </c>
      <c r="F161" t="inlineStr">
        <is>
          <t>Bom Jardim · Rua Alvarinda Ferreira Jorge</t>
        </is>
      </c>
      <c r="G161" t="n">
        <v>400</v>
      </c>
      <c r="L161" t="n">
        <v>400000</v>
      </c>
      <c r="M161" t="inlineStr">
        <is>
          <t>VivaReal | id:2893099595</t>
        </is>
      </c>
      <c r="N161" t="inlineStr">
        <is>
          <t>Venda</t>
        </is>
      </c>
    </row>
    <row r="162">
      <c r="A162" t="inlineStr">
        <is>
          <t>2026-06-28</t>
        </is>
      </c>
      <c r="B162" t="inlineStr">
        <is>
          <t>vivareal.com.br</t>
        </is>
      </c>
      <c r="C162" t="inlineStr">
        <is>
          <t>VivaReal</t>
        </is>
      </c>
      <c r="E162" t="inlineStr">
        <is>
          <t>Terreno</t>
        </is>
      </c>
      <c r="F162" t="inlineStr">
        <is>
          <t>Jardim Paris · Rua Herculano Ribeiro de Paiva</t>
        </is>
      </c>
      <c r="G162" t="n">
        <v>150</v>
      </c>
      <c r="L162" t="n">
        <v>160000</v>
      </c>
      <c r="M162" t="inlineStr">
        <is>
          <t>VivaReal | id:2766209032</t>
        </is>
      </c>
      <c r="N162" t="inlineStr">
        <is>
          <t>Venda</t>
        </is>
      </c>
    </row>
    <row r="163">
      <c r="A163" t="inlineStr">
        <is>
          <t>2026-06-28</t>
        </is>
      </c>
      <c r="B163" t="inlineStr">
        <is>
          <t>vivareal.com.br</t>
        </is>
      </c>
      <c r="C163" t="inlineStr">
        <is>
          <t>VivaReal</t>
        </is>
      </c>
      <c r="E163" t="inlineStr">
        <is>
          <t>Terreno</t>
        </is>
      </c>
      <c r="F163" t="inlineStr">
        <is>
          <t>Conjunto Habitacional Hermann Moraes Barros · Rua Hermínio Girardi</t>
        </is>
      </c>
      <c r="G163" t="n">
        <v>315</v>
      </c>
      <c r="L163" t="n">
        <v>280000</v>
      </c>
      <c r="M163" t="inlineStr">
        <is>
          <t>VivaReal | id:2882581487</t>
        </is>
      </c>
      <c r="N163" t="inlineStr">
        <is>
          <t>Venda</t>
        </is>
      </c>
    </row>
    <row r="164">
      <c r="A164" t="inlineStr">
        <is>
          <t>2026-06-28</t>
        </is>
      </c>
      <c r="B164" t="inlineStr">
        <is>
          <t>vivareal.com.br</t>
        </is>
      </c>
      <c r="C164" t="inlineStr">
        <is>
          <t>VivaReal</t>
        </is>
      </c>
      <c r="E164" t="inlineStr">
        <is>
          <t>Terreno</t>
        </is>
      </c>
      <c r="F164" t="inlineStr">
        <is>
          <t>Jardim Michelangelo · Rua Nelson de Britto</t>
        </is>
      </c>
      <c r="G164" t="n">
        <v>400</v>
      </c>
      <c r="L164" t="n">
        <v>720342</v>
      </c>
      <c r="M164" t="inlineStr">
        <is>
          <t>VivaReal | id:2892314374</t>
        </is>
      </c>
      <c r="N164" t="inlineStr">
        <is>
          <t>Venda</t>
        </is>
      </c>
    </row>
    <row r="165">
      <c r="A165" t="inlineStr">
        <is>
          <t>2026-06-28</t>
        </is>
      </c>
      <c r="B165" t="inlineStr">
        <is>
          <t>vivareal.com.br</t>
        </is>
      </c>
      <c r="C165" t="inlineStr">
        <is>
          <t>VivaReal</t>
        </is>
      </c>
      <c r="E165" t="inlineStr">
        <is>
          <t>Terreno</t>
        </is>
      </c>
      <c r="F165" t="inlineStr">
        <is>
          <t>Alto das Grevíleas · Rua Dolores Duran</t>
        </is>
      </c>
      <c r="G165" t="n">
        <v>276</v>
      </c>
      <c r="L165" t="n">
        <v>179000</v>
      </c>
      <c r="M165" t="inlineStr">
        <is>
          <t>VivaReal | id:2770058238</t>
        </is>
      </c>
      <c r="N165" t="inlineStr">
        <is>
          <t>Venda</t>
        </is>
      </c>
    </row>
    <row r="166">
      <c r="A166" t="inlineStr">
        <is>
          <t>2026-06-28</t>
        </is>
      </c>
      <c r="B166" t="inlineStr">
        <is>
          <t>vivareal.com.br</t>
        </is>
      </c>
      <c r="C166" t="inlineStr">
        <is>
          <t>VivaReal</t>
        </is>
      </c>
      <c r="E166" t="inlineStr">
        <is>
          <t>Casa</t>
        </is>
      </c>
      <c r="F166" t="inlineStr">
        <is>
          <t>Jardim Paris III · Rua Pioneiro Sebastião Alves</t>
        </is>
      </c>
      <c r="G166" t="n">
        <v>103</v>
      </c>
      <c r="H166" t="n">
        <v>2</v>
      </c>
      <c r="K166" t="n">
        <v>1</v>
      </c>
      <c r="L166" t="n">
        <v>300000</v>
      </c>
      <c r="M166" t="inlineStr">
        <is>
          <t>VivaReal | id:2886409618</t>
        </is>
      </c>
      <c r="N166" t="inlineStr">
        <is>
          <t>Venda</t>
        </is>
      </c>
    </row>
    <row r="167">
      <c r="A167" t="inlineStr">
        <is>
          <t>2026-06-28</t>
        </is>
      </c>
      <c r="B167" t="inlineStr">
        <is>
          <t>vivareal.com.br</t>
        </is>
      </c>
      <c r="C167" t="inlineStr">
        <is>
          <t>VivaReal</t>
        </is>
      </c>
      <c r="E167" t="inlineStr">
        <is>
          <t>Sala Comercial</t>
        </is>
      </c>
      <c r="F167" t="inlineStr">
        <is>
          <t>Jardim Alamar · Avenida Joaquim Duarte Moleirinho</t>
        </is>
      </c>
      <c r="G167" t="n">
        <v>54</v>
      </c>
      <c r="H167" t="n">
        <v>1</v>
      </c>
      <c r="L167" t="n">
        <v>600000</v>
      </c>
      <c r="M167" t="inlineStr">
        <is>
          <t>VivaReal | id:2814706445</t>
        </is>
      </c>
      <c r="N167" t="inlineStr">
        <is>
          <t>Venda</t>
        </is>
      </c>
    </row>
    <row r="168">
      <c r="A168" t="inlineStr">
        <is>
          <t>2026-06-28</t>
        </is>
      </c>
      <c r="B168" t="inlineStr">
        <is>
          <t>vivareal.com.br</t>
        </is>
      </c>
      <c r="C168" t="inlineStr">
        <is>
          <t>VivaReal</t>
        </is>
      </c>
      <c r="E168" t="inlineStr">
        <is>
          <t>Casa</t>
        </is>
      </c>
      <c r="F168" t="inlineStr">
        <is>
          <t>Conjunto Habitacional Requião · Avenida Guaiapó</t>
        </is>
      </c>
      <c r="G168" t="n">
        <v>75</v>
      </c>
      <c r="H168" t="n">
        <v>3</v>
      </c>
      <c r="K168" t="n">
        <v>2</v>
      </c>
      <c r="L168" t="n">
        <v>360000</v>
      </c>
      <c r="M168" t="inlineStr">
        <is>
          <t>VivaReal | id:2878946579</t>
        </is>
      </c>
      <c r="N168" t="inlineStr">
        <is>
          <t>Venda</t>
        </is>
      </c>
    </row>
    <row r="169">
      <c r="A169" t="inlineStr">
        <is>
          <t>2026-06-28</t>
        </is>
      </c>
      <c r="B169" t="inlineStr">
        <is>
          <t>vivareal.com.br</t>
        </is>
      </c>
      <c r="C169" t="inlineStr">
        <is>
          <t>VivaReal</t>
        </is>
      </c>
      <c r="E169" t="inlineStr">
        <is>
          <t>Terreno</t>
        </is>
      </c>
      <c r="F169" t="inlineStr">
        <is>
          <t>Conjunto Habitacional Sol Nascente · Rua Pioneiro Mário Pagani</t>
        </is>
      </c>
      <c r="G169" t="n">
        <v>319</v>
      </c>
      <c r="L169" t="n">
        <v>280000</v>
      </c>
      <c r="M169" t="inlineStr">
        <is>
          <t>VivaReal | id:2868972050</t>
        </is>
      </c>
      <c r="N169" t="inlineStr">
        <is>
          <t>Venda</t>
        </is>
      </c>
    </row>
    <row r="170">
      <c r="A170" t="inlineStr">
        <is>
          <t>2026-06-28</t>
        </is>
      </c>
      <c r="B170" t="inlineStr">
        <is>
          <t>vivareal.com.br</t>
        </is>
      </c>
      <c r="C170" t="inlineStr">
        <is>
          <t>VivaReal</t>
        </is>
      </c>
      <c r="E170" t="inlineStr">
        <is>
          <t>Sala Comercial</t>
        </is>
      </c>
      <c r="F170" t="inlineStr">
        <is>
          <t>Jardim Brasil · Avenida Deputado José Alves dos Santos</t>
        </is>
      </c>
      <c r="G170" t="n">
        <v>50</v>
      </c>
      <c r="L170" t="n">
        <v>450000</v>
      </c>
      <c r="M170" t="inlineStr">
        <is>
          <t>VivaReal | id:2884831693</t>
        </is>
      </c>
      <c r="N170" t="inlineStr">
        <is>
          <t>Venda</t>
        </is>
      </c>
    </row>
    <row r="171">
      <c r="A171" t="inlineStr">
        <is>
          <t>2026-06-28</t>
        </is>
      </c>
      <c r="B171" t="inlineStr">
        <is>
          <t>vivareal.com.br</t>
        </is>
      </c>
      <c r="C171" t="inlineStr">
        <is>
          <t>VivaReal</t>
        </is>
      </c>
      <c r="E171" t="inlineStr">
        <is>
          <t>Casa</t>
        </is>
      </c>
      <c r="F171" t="inlineStr">
        <is>
          <t>Jardim Monte Rei · Rua Esmeralda</t>
        </is>
      </c>
      <c r="G171" t="n">
        <v>210</v>
      </c>
      <c r="H171" t="n">
        <v>3</v>
      </c>
      <c r="K171" t="n">
        <v>1</v>
      </c>
      <c r="L171" t="n">
        <v>590000</v>
      </c>
      <c r="M171" t="inlineStr">
        <is>
          <t>VivaReal | id:2886952203</t>
        </is>
      </c>
      <c r="N171" t="inlineStr">
        <is>
          <t>Venda</t>
        </is>
      </c>
    </row>
    <row r="172">
      <c r="A172" t="inlineStr">
        <is>
          <t>2026-06-28</t>
        </is>
      </c>
      <c r="B172" t="inlineStr">
        <is>
          <t>vivareal.com.br</t>
        </is>
      </c>
      <c r="C172" t="inlineStr">
        <is>
          <t>VivaReal</t>
        </is>
      </c>
      <c r="E172" t="inlineStr">
        <is>
          <t>Terreno</t>
        </is>
      </c>
      <c r="F172" t="inlineStr">
        <is>
          <t>Jardim Atami · Rua Pioneira Hilde Marini Jordan</t>
        </is>
      </c>
      <c r="G172" t="n">
        <v>445</v>
      </c>
      <c r="L172" t="n">
        <v>450000</v>
      </c>
      <c r="M172" t="inlineStr">
        <is>
          <t>VivaReal | id:2893449644</t>
        </is>
      </c>
      <c r="N172" t="inlineStr">
        <is>
          <t>Venda</t>
        </is>
      </c>
    </row>
    <row r="173">
      <c r="A173" t="inlineStr">
        <is>
          <t>2026-06-28</t>
        </is>
      </c>
      <c r="B173" t="inlineStr">
        <is>
          <t>vivareal.com.br</t>
        </is>
      </c>
      <c r="C173" t="inlineStr">
        <is>
          <t>VivaReal</t>
        </is>
      </c>
      <c r="E173" t="inlineStr">
        <is>
          <t>Terreno</t>
        </is>
      </c>
      <c r="F173" t="inlineStr">
        <is>
          <t>Jardim Dias II · Rua Pioneiro Antonio Deganello</t>
        </is>
      </c>
      <c r="G173" t="n">
        <v>320</v>
      </c>
      <c r="L173" t="n">
        <v>400000</v>
      </c>
      <c r="M173" t="inlineStr">
        <is>
          <t>VivaReal | id:2845952465</t>
        </is>
      </c>
      <c r="N173" t="inlineStr">
        <is>
          <t>Venda</t>
        </is>
      </c>
    </row>
    <row r="174">
      <c r="A174" t="inlineStr">
        <is>
          <t>2026-06-28</t>
        </is>
      </c>
      <c r="B174" t="inlineStr">
        <is>
          <t>vivareal.com.br</t>
        </is>
      </c>
      <c r="C174" t="inlineStr">
        <is>
          <t>VivaReal</t>
        </is>
      </c>
      <c r="E174" t="inlineStr">
        <is>
          <t>Casa</t>
        </is>
      </c>
      <c r="F174" t="inlineStr">
        <is>
          <t>Vila Marumby · Rua Pioneiro Alberto Biazon</t>
        </is>
      </c>
      <c r="G174" t="n">
        <v>131</v>
      </c>
      <c r="H174" t="n">
        <v>3</v>
      </c>
      <c r="K174" t="n">
        <v>4</v>
      </c>
      <c r="L174" t="n">
        <v>490000</v>
      </c>
      <c r="M174" t="inlineStr">
        <is>
          <t>VivaReal | id:2857404872</t>
        </is>
      </c>
      <c r="N174" t="inlineStr">
        <is>
          <t>Venda</t>
        </is>
      </c>
    </row>
    <row r="175">
      <c r="A175" t="inlineStr">
        <is>
          <t>2026-06-28</t>
        </is>
      </c>
      <c r="B175" t="inlineStr">
        <is>
          <t>vivareal.com.br</t>
        </is>
      </c>
      <c r="C175" t="inlineStr">
        <is>
          <t>VivaReal</t>
        </is>
      </c>
      <c r="E175" t="inlineStr">
        <is>
          <t>Terreno</t>
        </is>
      </c>
      <c r="F175" t="inlineStr">
        <is>
          <t>Jardim Imperial · Rua Chihiro Nakatani</t>
        </is>
      </c>
      <c r="G175" t="n">
        <v>300</v>
      </c>
      <c r="L175" t="n">
        <v>319000</v>
      </c>
      <c r="M175" t="inlineStr">
        <is>
          <t>VivaReal | id:2806601442</t>
        </is>
      </c>
      <c r="N175" t="inlineStr">
        <is>
          <t>Venda</t>
        </is>
      </c>
    </row>
    <row r="176">
      <c r="A176" t="inlineStr">
        <is>
          <t>2026-06-28</t>
        </is>
      </c>
      <c r="B176" t="inlineStr">
        <is>
          <t>vivareal.com.br</t>
        </is>
      </c>
      <c r="C176" t="inlineStr">
        <is>
          <t>VivaReal</t>
        </is>
      </c>
      <c r="E176" t="inlineStr">
        <is>
          <t>Terreno</t>
        </is>
      </c>
      <c r="F176" t="inlineStr">
        <is>
          <t>Jardim Oriental · Rua Vereador João Luiz Fabre</t>
        </is>
      </c>
      <c r="G176" t="n">
        <v>200</v>
      </c>
      <c r="L176" t="n">
        <v>170000</v>
      </c>
      <c r="M176" t="inlineStr">
        <is>
          <t>VivaReal | id:2893040982</t>
        </is>
      </c>
      <c r="N176" t="inlineStr">
        <is>
          <t>Venda</t>
        </is>
      </c>
    </row>
    <row r="177">
      <c r="A177" t="inlineStr">
        <is>
          <t>2026-06-28</t>
        </is>
      </c>
      <c r="B177" t="inlineStr">
        <is>
          <t>vivareal.com.br</t>
        </is>
      </c>
      <c r="C177" t="inlineStr">
        <is>
          <t>VivaReal</t>
        </is>
      </c>
      <c r="E177" t="inlineStr">
        <is>
          <t>Casa</t>
        </is>
      </c>
      <c r="F177" t="inlineStr">
        <is>
          <t>Jardim Catedral · Rua Pioneiro Olivar Freitas de Paiva</t>
        </is>
      </c>
      <c r="G177" t="n">
        <v>113</v>
      </c>
      <c r="H177" t="n">
        <v>3</v>
      </c>
      <c r="K177" t="n">
        <v>2</v>
      </c>
      <c r="L177" t="n">
        <v>420000</v>
      </c>
      <c r="M177" t="inlineStr">
        <is>
          <t>VivaReal | id:2874630200</t>
        </is>
      </c>
      <c r="N177" t="inlineStr">
        <is>
          <t>Venda</t>
        </is>
      </c>
    </row>
    <row r="178">
      <c r="A178" t="inlineStr">
        <is>
          <t>2026-06-28</t>
        </is>
      </c>
      <c r="B178" t="inlineStr">
        <is>
          <t>vivareal.com.br</t>
        </is>
      </c>
      <c r="C178" t="inlineStr">
        <is>
          <t>VivaReal</t>
        </is>
      </c>
      <c r="E178" t="inlineStr">
        <is>
          <t>Terreno</t>
        </is>
      </c>
      <c r="F178" t="inlineStr">
        <is>
          <t>Jardim Dias II · Rua José Carlos Paixão</t>
        </is>
      </c>
      <c r="G178" t="n">
        <v>174</v>
      </c>
      <c r="L178" t="n">
        <v>190000</v>
      </c>
      <c r="M178" t="inlineStr">
        <is>
          <t>VivaReal | id:2874841185</t>
        </is>
      </c>
      <c r="N178" t="inlineStr">
        <is>
          <t>Venda</t>
        </is>
      </c>
    </row>
    <row r="179">
      <c r="A179" t="inlineStr">
        <is>
          <t>2026-06-28</t>
        </is>
      </c>
      <c r="B179" t="inlineStr">
        <is>
          <t>vivareal.com.br</t>
        </is>
      </c>
      <c r="C179" t="inlineStr">
        <is>
          <t>VivaReal</t>
        </is>
      </c>
      <c r="E179" t="inlineStr">
        <is>
          <t>Casa</t>
        </is>
      </c>
      <c r="F179" t="inlineStr">
        <is>
          <t>Conjunto Habitacional Requião · Rua Pioneiro Luiz Oberleitner</t>
        </is>
      </c>
      <c r="G179" t="n">
        <v>79</v>
      </c>
      <c r="H179" t="n">
        <v>3</v>
      </c>
      <c r="K179" t="n">
        <v>2</v>
      </c>
      <c r="L179" t="n">
        <v>395000</v>
      </c>
      <c r="M179" t="inlineStr">
        <is>
          <t>VivaReal | id:2869013700</t>
        </is>
      </c>
      <c r="N179" t="inlineStr">
        <is>
          <t>Venda</t>
        </is>
      </c>
    </row>
    <row r="180">
      <c r="A180" t="inlineStr">
        <is>
          <t>2026-06-28</t>
        </is>
      </c>
      <c r="B180" t="inlineStr">
        <is>
          <t>vivareal.com.br</t>
        </is>
      </c>
      <c r="C180" t="inlineStr">
        <is>
          <t>VivaReal</t>
        </is>
      </c>
      <c r="E180" t="inlineStr">
        <is>
          <t>Casa</t>
        </is>
      </c>
      <c r="F180" t="inlineStr">
        <is>
          <t>Jardim Paulista · Rua José Granado Parra</t>
        </is>
      </c>
      <c r="G180" t="n">
        <v>80</v>
      </c>
      <c r="H180" t="n">
        <v>3</v>
      </c>
      <c r="K180" t="n">
        <v>2</v>
      </c>
      <c r="L180" t="n">
        <v>430000</v>
      </c>
      <c r="M180" t="inlineStr">
        <is>
          <t>VivaReal | id:2877785476</t>
        </is>
      </c>
      <c r="N180" t="inlineStr">
        <is>
          <t>Venda</t>
        </is>
      </c>
    </row>
    <row r="181">
      <c r="A181" t="inlineStr">
        <is>
          <t>2026-06-28</t>
        </is>
      </c>
      <c r="B181" t="inlineStr">
        <is>
          <t>vivareal.com.br</t>
        </is>
      </c>
      <c r="C181" t="inlineStr">
        <is>
          <t>VivaReal</t>
        </is>
      </c>
      <c r="E181" t="inlineStr">
        <is>
          <t>Casa</t>
        </is>
      </c>
      <c r="F181" t="inlineStr">
        <is>
          <t>Jardim do Carmo · Rua Pioneiro Rafael Garcia</t>
        </is>
      </c>
      <c r="G181" t="n">
        <v>100</v>
      </c>
      <c r="H181" t="n">
        <v>3</v>
      </c>
      <c r="K181" t="n">
        <v>1</v>
      </c>
      <c r="L181" t="n">
        <v>376000</v>
      </c>
      <c r="M181" t="inlineStr">
        <is>
          <t>VivaReal | id:2894553080</t>
        </is>
      </c>
      <c r="N181" t="inlineStr">
        <is>
          <t>Venda</t>
        </is>
      </c>
    </row>
    <row r="182">
      <c r="A182" t="inlineStr">
        <is>
          <t>2026-06-28</t>
        </is>
      </c>
      <c r="B182" t="inlineStr">
        <is>
          <t>vivareal.com.br</t>
        </is>
      </c>
      <c r="C182" t="inlineStr">
        <is>
          <t>VivaReal</t>
        </is>
      </c>
      <c r="E182" t="inlineStr">
        <is>
          <t>Casa</t>
        </is>
      </c>
      <c r="F182" t="inlineStr">
        <is>
          <t>Jardim Liberdade III · Rua Gisele Gomes de Castro</t>
        </is>
      </c>
      <c r="G182" t="n">
        <v>156</v>
      </c>
      <c r="H182" t="n">
        <v>3</v>
      </c>
      <c r="K182" t="n">
        <v>3</v>
      </c>
      <c r="L182" t="n">
        <v>680000</v>
      </c>
      <c r="M182" t="inlineStr">
        <is>
          <t>VivaReal | id:2890131302</t>
        </is>
      </c>
      <c r="N182" t="inlineStr">
        <is>
          <t>Venda</t>
        </is>
      </c>
    </row>
    <row r="183">
      <c r="A183" t="inlineStr">
        <is>
          <t>2026-06-28</t>
        </is>
      </c>
      <c r="B183" t="inlineStr">
        <is>
          <t>vivareal.com.br</t>
        </is>
      </c>
      <c r="C183" t="inlineStr">
        <is>
          <t>VivaReal</t>
        </is>
      </c>
      <c r="E183" t="inlineStr">
        <is>
          <t>Terreno</t>
        </is>
      </c>
      <c r="F183" t="inlineStr">
        <is>
          <t>Jardim Licce · Rua Mieko Imai da Silva</t>
        </is>
      </c>
      <c r="G183" t="n">
        <v>300</v>
      </c>
      <c r="L183" t="n">
        <v>320000</v>
      </c>
      <c r="M183" t="inlineStr">
        <is>
          <t>VivaReal | id:2822808718</t>
        </is>
      </c>
      <c r="N183" t="inlineStr">
        <is>
          <t>Venda</t>
        </is>
      </c>
    </row>
    <row r="184">
      <c r="A184" t="inlineStr">
        <is>
          <t>2026-06-28</t>
        </is>
      </c>
      <c r="B184" t="inlineStr">
        <is>
          <t>vivareal.com.br</t>
        </is>
      </c>
      <c r="C184" t="inlineStr">
        <is>
          <t>VivaReal</t>
        </is>
      </c>
      <c r="E184" t="inlineStr">
        <is>
          <t>Casa</t>
        </is>
      </c>
      <c r="F184" t="inlineStr">
        <is>
          <t>Jardim Tupinambá · Rua Barão de Piracicaba</t>
        </is>
      </c>
      <c r="G184" t="n">
        <v>170</v>
      </c>
      <c r="H184" t="n">
        <v>3</v>
      </c>
      <c r="L184" t="n">
        <v>580000</v>
      </c>
      <c r="M184" t="inlineStr">
        <is>
          <t>VivaReal | id:2883150678</t>
        </is>
      </c>
      <c r="N184" t="inlineStr">
        <is>
          <t>Venda</t>
        </is>
      </c>
    </row>
    <row r="185">
      <c r="A185" t="inlineStr">
        <is>
          <t>2026-06-28</t>
        </is>
      </c>
      <c r="B185" t="inlineStr">
        <is>
          <t>vivareal.com.br</t>
        </is>
      </c>
      <c r="C185" t="inlineStr">
        <is>
          <t>VivaReal</t>
        </is>
      </c>
      <c r="E185" t="inlineStr">
        <is>
          <t>Terreno</t>
        </is>
      </c>
      <c r="F185" t="inlineStr">
        <is>
          <t>Condomínio Santa Marina · Rua Toshimi Ishikawa</t>
        </is>
      </c>
      <c r="G185" t="n">
        <v>420</v>
      </c>
      <c r="L185" t="n">
        <v>350000</v>
      </c>
      <c r="M185" t="inlineStr">
        <is>
          <t>VivaReal | id:2821092094</t>
        </is>
      </c>
      <c r="N185" t="inlineStr">
        <is>
          <t>Venda</t>
        </is>
      </c>
    </row>
    <row r="186">
      <c r="A186" t="inlineStr">
        <is>
          <t>2026-06-28</t>
        </is>
      </c>
      <c r="B186" t="inlineStr">
        <is>
          <t>vivareal.com.br</t>
        </is>
      </c>
      <c r="C186" t="inlineStr">
        <is>
          <t>VivaReal</t>
        </is>
      </c>
      <c r="E186" t="inlineStr">
        <is>
          <t>Casa</t>
        </is>
      </c>
      <c r="F186" t="inlineStr">
        <is>
          <t>Jardim Guairacá · Rua Pioneiro José Henrique de Paula</t>
        </is>
      </c>
      <c r="G186" t="n">
        <v>100</v>
      </c>
      <c r="H186" t="n">
        <v>2</v>
      </c>
      <c r="K186" t="n">
        <v>2</v>
      </c>
      <c r="L186" t="n">
        <v>350000</v>
      </c>
      <c r="M186" t="inlineStr">
        <is>
          <t>VivaReal | id:2894020116</t>
        </is>
      </c>
      <c r="N186" t="inlineStr">
        <is>
          <t>Venda</t>
        </is>
      </c>
    </row>
    <row r="187">
      <c r="A187" t="inlineStr">
        <is>
          <t>2026-06-28</t>
        </is>
      </c>
      <c r="B187" t="inlineStr">
        <is>
          <t>vivareal.com.br</t>
        </is>
      </c>
      <c r="C187" t="inlineStr">
        <is>
          <t>VivaReal</t>
        </is>
      </c>
      <c r="E187" t="inlineStr">
        <is>
          <t>Apartamento</t>
        </is>
      </c>
      <c r="F187" t="inlineStr">
        <is>
          <t>Jardim Higienópolis · Avenida Arquiteto Nildo Ribeiro da Rocha</t>
        </is>
      </c>
      <c r="G187" t="n">
        <v>61</v>
      </c>
      <c r="H187" t="n">
        <v>2</v>
      </c>
      <c r="K187" t="n">
        <v>1</v>
      </c>
      <c r="L187" t="n">
        <v>556368</v>
      </c>
      <c r="M187" t="inlineStr">
        <is>
          <t>VivaReal | id:2873667489</t>
        </is>
      </c>
      <c r="N187" t="inlineStr">
        <is>
          <t>Venda</t>
        </is>
      </c>
    </row>
    <row r="188">
      <c r="A188" t="inlineStr">
        <is>
          <t>2026-06-28</t>
        </is>
      </c>
      <c r="B188" t="inlineStr">
        <is>
          <t>vivareal.com.br</t>
        </is>
      </c>
      <c r="C188" t="inlineStr">
        <is>
          <t>VivaReal</t>
        </is>
      </c>
      <c r="E188" t="inlineStr">
        <is>
          <t>Terreno</t>
        </is>
      </c>
      <c r="F188" t="inlineStr">
        <is>
          <t>Bom Jardim · Rua Antônio Rigoldi</t>
        </is>
      </c>
      <c r="G188" t="n">
        <v>400</v>
      </c>
      <c r="L188" t="n">
        <v>383000</v>
      </c>
      <c r="M188" t="inlineStr">
        <is>
          <t>VivaReal | id:2822708059</t>
        </is>
      </c>
      <c r="N188" t="inlineStr">
        <is>
          <t>Venda</t>
        </is>
      </c>
    </row>
    <row r="189">
      <c r="A189" t="inlineStr">
        <is>
          <t>2026-06-28</t>
        </is>
      </c>
      <c r="B189" t="inlineStr">
        <is>
          <t>vivareal.com.br</t>
        </is>
      </c>
      <c r="C189" t="inlineStr">
        <is>
          <t>VivaReal</t>
        </is>
      </c>
      <c r="E189" t="inlineStr">
        <is>
          <t>Casa</t>
        </is>
      </c>
      <c r="F189" t="inlineStr">
        <is>
          <t>Parque Hortência · Rua Pioneiro Geraldo José Jorge</t>
        </is>
      </c>
      <c r="G189" t="n">
        <v>81</v>
      </c>
      <c r="H189" t="n">
        <v>3</v>
      </c>
      <c r="K189" t="n">
        <v>2</v>
      </c>
      <c r="L189" t="n">
        <v>450000</v>
      </c>
      <c r="M189" t="inlineStr">
        <is>
          <t>VivaReal | id:2874704655</t>
        </is>
      </c>
      <c r="N189" t="inlineStr">
        <is>
          <t>Venda</t>
        </is>
      </c>
    </row>
    <row r="190">
      <c r="A190" t="inlineStr">
        <is>
          <t>2026-06-28</t>
        </is>
      </c>
      <c r="B190" t="inlineStr">
        <is>
          <t>vivareal.com.br</t>
        </is>
      </c>
      <c r="C190" t="inlineStr">
        <is>
          <t>VivaReal</t>
        </is>
      </c>
      <c r="E190" t="inlineStr">
        <is>
          <t>Apartamento</t>
        </is>
      </c>
      <c r="F190" t="inlineStr">
        <is>
          <t>Jardim Tabaete · Rua Tabaetê</t>
        </is>
      </c>
      <c r="G190" t="n">
        <v>115</v>
      </c>
      <c r="H190" t="n">
        <v>3</v>
      </c>
      <c r="K190" t="n">
        <v>2</v>
      </c>
      <c r="L190" t="n">
        <v>1200000</v>
      </c>
      <c r="M190" t="inlineStr">
        <is>
          <t>VivaReal | id:2895218075</t>
        </is>
      </c>
      <c r="N190" t="inlineStr">
        <is>
          <t>Venda</t>
        </is>
      </c>
    </row>
    <row r="191">
      <c r="A191" t="inlineStr">
        <is>
          <t>2026-06-28</t>
        </is>
      </c>
      <c r="B191" t="inlineStr">
        <is>
          <t>vivareal.com.br</t>
        </is>
      </c>
      <c r="C191" t="inlineStr">
        <is>
          <t>VivaReal</t>
        </is>
      </c>
      <c r="E191" t="inlineStr">
        <is>
          <t>Casa</t>
        </is>
      </c>
      <c r="F191" t="inlineStr">
        <is>
          <t>Jardim Novo Oásis · Rua Pioneiro Dionísio Volpi Frediani</t>
        </is>
      </c>
      <c r="G191" t="n">
        <v>104</v>
      </c>
      <c r="H191" t="n">
        <v>3</v>
      </c>
      <c r="K191" t="n">
        <v>2</v>
      </c>
      <c r="L191" t="n">
        <v>450000</v>
      </c>
      <c r="M191" t="inlineStr">
        <is>
          <t>VivaReal | id:2894004782</t>
        </is>
      </c>
      <c r="N191" t="inlineStr">
        <is>
          <t>Venda</t>
        </is>
      </c>
    </row>
    <row r="192">
      <c r="A192" t="inlineStr">
        <is>
          <t>2026-06-28</t>
        </is>
      </c>
      <c r="B192" t="inlineStr">
        <is>
          <t>vivareal.com.br</t>
        </is>
      </c>
      <c r="C192" t="inlineStr">
        <is>
          <t>VivaReal</t>
        </is>
      </c>
      <c r="E192" t="inlineStr">
        <is>
          <t>Terreno</t>
        </is>
      </c>
      <c r="F192" t="inlineStr">
        <is>
          <t>Jardim Imperial II · Rua Kyoto</t>
        </is>
      </c>
      <c r="G192" t="n">
        <v>215</v>
      </c>
      <c r="L192" t="n">
        <v>248000</v>
      </c>
      <c r="M192" t="inlineStr">
        <is>
          <t>VivaReal | id:2877990780</t>
        </is>
      </c>
      <c r="N192" t="inlineStr">
        <is>
          <t>Venda</t>
        </is>
      </c>
    </row>
    <row r="193">
      <c r="A193" t="inlineStr">
        <is>
          <t>2026-06-28</t>
        </is>
      </c>
      <c r="B193" t="inlineStr">
        <is>
          <t>vivareal.com.br</t>
        </is>
      </c>
      <c r="C193" t="inlineStr">
        <is>
          <t>VivaReal</t>
        </is>
      </c>
      <c r="E193" t="inlineStr">
        <is>
          <t>Terreno</t>
        </is>
      </c>
      <c r="F193" t="inlineStr">
        <is>
          <t>Jardim Olímpico · Rua Albatroz</t>
        </is>
      </c>
      <c r="G193" t="n">
        <v>324</v>
      </c>
      <c r="L193" t="n">
        <v>350000</v>
      </c>
      <c r="M193" t="inlineStr">
        <is>
          <t>VivaReal | id:2872779589</t>
        </is>
      </c>
      <c r="N193" t="inlineStr">
        <is>
          <t>Venda</t>
        </is>
      </c>
    </row>
    <row r="194">
      <c r="A194" t="inlineStr">
        <is>
          <t>2026-06-28</t>
        </is>
      </c>
      <c r="B194" t="inlineStr">
        <is>
          <t>vivareal.com.br</t>
        </is>
      </c>
      <c r="C194" t="inlineStr">
        <is>
          <t>VivaReal</t>
        </is>
      </c>
      <c r="E194" t="inlineStr">
        <is>
          <t>Terreno</t>
        </is>
      </c>
      <c r="F194" t="inlineStr">
        <is>
          <t>Jardim Espanha · Rua Tonico e Tinoco</t>
        </is>
      </c>
      <c r="G194" t="n">
        <v>400</v>
      </c>
      <c r="L194" t="n">
        <v>380000</v>
      </c>
      <c r="M194" t="inlineStr">
        <is>
          <t>VivaReal | id:2872781877</t>
        </is>
      </c>
      <c r="N194" t="inlineStr">
        <is>
          <t>Venda</t>
        </is>
      </c>
    </row>
    <row r="195">
      <c r="A195" t="inlineStr">
        <is>
          <t>2026-06-28</t>
        </is>
      </c>
      <c r="B195" t="inlineStr">
        <is>
          <t>vivareal.com.br</t>
        </is>
      </c>
      <c r="C195" t="inlineStr">
        <is>
          <t>VivaReal</t>
        </is>
      </c>
      <c r="E195" t="inlineStr">
        <is>
          <t>Terreno</t>
        </is>
      </c>
      <c r="F195" t="inlineStr">
        <is>
          <t>Jardim Novo Oásis · Rua Rio Cunha</t>
        </is>
      </c>
      <c r="G195" t="n">
        <v>300</v>
      </c>
      <c r="L195" t="n">
        <v>350000</v>
      </c>
      <c r="M195" t="inlineStr">
        <is>
          <t>VivaReal | id:2893456702</t>
        </is>
      </c>
      <c r="N195" t="inlineStr">
        <is>
          <t>Venda</t>
        </is>
      </c>
    </row>
    <row r="196">
      <c r="A196" t="inlineStr">
        <is>
          <t>2026-06-28</t>
        </is>
      </c>
      <c r="B196" t="inlineStr">
        <is>
          <t>vivareal.com.br</t>
        </is>
      </c>
      <c r="C196" t="inlineStr">
        <is>
          <t>VivaReal</t>
        </is>
      </c>
      <c r="E196" t="inlineStr">
        <is>
          <t>Casa</t>
        </is>
      </c>
      <c r="F196" t="inlineStr">
        <is>
          <t>Jardim Aurora · Rua Pioneiro Geraldino Fernandes Rodrigues</t>
        </is>
      </c>
      <c r="G196" t="n">
        <v>123</v>
      </c>
      <c r="H196" t="n">
        <v>3</v>
      </c>
      <c r="K196" t="n">
        <v>4</v>
      </c>
      <c r="L196" t="n">
        <v>390000</v>
      </c>
      <c r="M196" t="inlineStr">
        <is>
          <t>VivaReal | id:2869172082</t>
        </is>
      </c>
      <c r="N196" t="inlineStr">
        <is>
          <t>Venda</t>
        </is>
      </c>
    </row>
    <row r="197">
      <c r="A197" t="inlineStr">
        <is>
          <t>2026-06-28</t>
        </is>
      </c>
      <c r="B197" t="inlineStr">
        <is>
          <t>vivareal.com.br</t>
        </is>
      </c>
      <c r="C197" t="inlineStr">
        <is>
          <t>VivaReal</t>
        </is>
      </c>
      <c r="E197" t="inlineStr">
        <is>
          <t>Terreno</t>
        </is>
      </c>
      <c r="F197" t="inlineStr">
        <is>
          <t>Zona 07 · Rua Tietê</t>
        </is>
      </c>
      <c r="G197" t="n">
        <v>468</v>
      </c>
      <c r="K197" t="n">
        <v>9</v>
      </c>
      <c r="L197" t="n">
        <v>1400000</v>
      </c>
      <c r="M197" t="inlineStr">
        <is>
          <t>VivaReal | id:2791417321</t>
        </is>
      </c>
      <c r="N197" t="inlineStr">
        <is>
          <t>Venda</t>
        </is>
      </c>
    </row>
    <row r="198">
      <c r="A198" t="inlineStr">
        <is>
          <t>2026-06-28</t>
        </is>
      </c>
      <c r="B198" t="inlineStr">
        <is>
          <t>vivareal.com.br</t>
        </is>
      </c>
      <c r="C198" t="inlineStr">
        <is>
          <t>VivaReal</t>
        </is>
      </c>
      <c r="E198" t="inlineStr">
        <is>
          <t>Casa</t>
        </is>
      </c>
      <c r="F198" t="inlineStr">
        <is>
          <t>Jardim Paulista III · Rua Pioneiro Walcyr Baveloni</t>
        </is>
      </c>
      <c r="G198" t="n">
        <v>80</v>
      </c>
      <c r="H198" t="n">
        <v>3</v>
      </c>
      <c r="K198" t="n">
        <v>2</v>
      </c>
      <c r="L198" t="n">
        <v>430000</v>
      </c>
      <c r="M198" t="inlineStr">
        <is>
          <t>VivaReal | id:2886952314</t>
        </is>
      </c>
      <c r="N198" t="inlineStr">
        <is>
          <t>Venda</t>
        </is>
      </c>
    </row>
    <row r="199">
      <c r="A199" t="inlineStr">
        <is>
          <t>2026-06-28</t>
        </is>
      </c>
      <c r="B199" t="inlineStr">
        <is>
          <t>vivareal.com.br</t>
        </is>
      </c>
      <c r="C199" t="inlineStr">
        <is>
          <t>VivaReal</t>
        </is>
      </c>
      <c r="E199" t="inlineStr">
        <is>
          <t>Apartamento</t>
        </is>
      </c>
      <c r="F199" t="inlineStr">
        <is>
          <t>Zona 07 · Rua Mandaguari</t>
        </is>
      </c>
      <c r="G199" t="n">
        <v>123</v>
      </c>
      <c r="H199" t="n">
        <v>3</v>
      </c>
      <c r="K199" t="n">
        <v>1</v>
      </c>
      <c r="L199" t="n">
        <v>560000</v>
      </c>
      <c r="M199" t="inlineStr">
        <is>
          <t>VivaReal | id:2894723874</t>
        </is>
      </c>
      <c r="N199" t="inlineStr">
        <is>
          <t>Venda</t>
        </is>
      </c>
    </row>
    <row r="200">
      <c r="A200" t="inlineStr">
        <is>
          <t>2026-06-28</t>
        </is>
      </c>
      <c r="B200" t="inlineStr">
        <is>
          <t>vivareal.com.br</t>
        </is>
      </c>
      <c r="C200" t="inlineStr">
        <is>
          <t>VivaReal</t>
        </is>
      </c>
      <c r="E200" t="inlineStr">
        <is>
          <t>Ponto Comercial</t>
        </is>
      </c>
      <c r="F200" t="inlineStr">
        <is>
          <t>Jardim Oásis · Avenida Guaiapó</t>
        </is>
      </c>
      <c r="G200" t="n">
        <v>113</v>
      </c>
      <c r="K200" t="n">
        <v>2</v>
      </c>
      <c r="L200" t="n">
        <v>180000</v>
      </c>
      <c r="M200" t="inlineStr">
        <is>
          <t>VivaReal | id:2893290901</t>
        </is>
      </c>
      <c r="N200" t="inlineStr">
        <is>
          <t>Venda</t>
        </is>
      </c>
    </row>
    <row r="201">
      <c r="A201" t="inlineStr">
        <is>
          <t>2026-06-28</t>
        </is>
      </c>
      <c r="B201" t="inlineStr">
        <is>
          <t>vivareal.com.br</t>
        </is>
      </c>
      <c r="C201" t="inlineStr">
        <is>
          <t>VivaReal</t>
        </is>
      </c>
      <c r="E201" t="inlineStr">
        <is>
          <t>Terreno</t>
        </is>
      </c>
      <c r="F201" t="inlineStr">
        <is>
          <t>Jardim Império do Sol · Rua Henrique Veronez</t>
        </is>
      </c>
      <c r="G201" t="n">
        <v>212</v>
      </c>
      <c r="L201" t="n">
        <v>195000</v>
      </c>
      <c r="M201" t="inlineStr">
        <is>
          <t>VivaReal | id:2841864148</t>
        </is>
      </c>
      <c r="N201" t="inlineStr">
        <is>
          <t>Venda</t>
        </is>
      </c>
    </row>
    <row r="202">
      <c r="A202" t="inlineStr">
        <is>
          <t>2026-06-28</t>
        </is>
      </c>
      <c r="B202" t="inlineStr">
        <is>
          <t>vivareal.com.br</t>
        </is>
      </c>
      <c r="C202" t="inlineStr">
        <is>
          <t>VivaReal</t>
        </is>
      </c>
      <c r="E202" t="inlineStr">
        <is>
          <t>Terreno</t>
        </is>
      </c>
      <c r="F202" t="inlineStr">
        <is>
          <t>Vila Morangueira · Rua La Paz</t>
        </is>
      </c>
      <c r="G202" t="n">
        <v>383</v>
      </c>
      <c r="H202" t="n">
        <v>3</v>
      </c>
      <c r="K202" t="n">
        <v>5</v>
      </c>
      <c r="L202" t="n">
        <v>1200000</v>
      </c>
      <c r="M202" t="inlineStr">
        <is>
          <t>VivaReal | id:2845367824</t>
        </is>
      </c>
      <c r="N202" t="inlineStr">
        <is>
          <t>Venda</t>
        </is>
      </c>
    </row>
    <row r="203">
      <c r="A203" t="inlineStr">
        <is>
          <t>2026-06-28</t>
        </is>
      </c>
      <c r="B203" t="inlineStr">
        <is>
          <t>vivareal.com.br</t>
        </is>
      </c>
      <c r="C203" t="inlineStr">
        <is>
          <t>VivaReal</t>
        </is>
      </c>
      <c r="E203" t="inlineStr">
        <is>
          <t>Terreno</t>
        </is>
      </c>
      <c r="F203" t="inlineStr">
        <is>
          <t>Giardino San Marco · Avenida Juvêncio Barbosa Silveira</t>
        </is>
      </c>
      <c r="G203" t="n">
        <v>201</v>
      </c>
      <c r="L203" t="n">
        <v>170000</v>
      </c>
      <c r="M203" t="inlineStr">
        <is>
          <t>VivaReal | id:2885633476</t>
        </is>
      </c>
      <c r="N203" t="inlineStr">
        <is>
          <t>Venda</t>
        </is>
      </c>
    </row>
    <row r="204">
      <c r="A204" t="inlineStr">
        <is>
          <t>2026-06-28</t>
        </is>
      </c>
      <c r="B204" t="inlineStr">
        <is>
          <t>vivareal.com.br</t>
        </is>
      </c>
      <c r="C204" t="inlineStr">
        <is>
          <t>VivaReal</t>
        </is>
      </c>
      <c r="E204" t="inlineStr">
        <is>
          <t>Terreno</t>
        </is>
      </c>
      <c r="F204" t="inlineStr">
        <is>
          <t>Jardim Espanha · Rua Izabel Fernandes Cano</t>
        </is>
      </c>
      <c r="G204" t="n">
        <v>248</v>
      </c>
      <c r="L204" t="n">
        <v>260000</v>
      </c>
      <c r="M204" t="inlineStr">
        <is>
          <t>VivaReal | id:2854508226</t>
        </is>
      </c>
      <c r="N204" t="inlineStr">
        <is>
          <t>Venda</t>
        </is>
      </c>
    </row>
    <row r="205">
      <c r="A205" t="inlineStr">
        <is>
          <t>2026-06-28</t>
        </is>
      </c>
      <c r="B205" t="inlineStr">
        <is>
          <t>vivareal.com.br</t>
        </is>
      </c>
      <c r="C205" t="inlineStr">
        <is>
          <t>VivaReal</t>
        </is>
      </c>
      <c r="E205" t="inlineStr">
        <is>
          <t>Casa</t>
        </is>
      </c>
      <c r="F205" t="inlineStr">
        <is>
          <t>Jardim Universo · Rua Joaquim Mendonça</t>
        </is>
      </c>
      <c r="G205" t="n">
        <v>100</v>
      </c>
      <c r="H205" t="n">
        <v>3</v>
      </c>
      <c r="K205" t="n">
        <v>2</v>
      </c>
      <c r="L205" t="n">
        <v>600000</v>
      </c>
      <c r="M205" t="inlineStr">
        <is>
          <t>VivaReal | id:2820280568</t>
        </is>
      </c>
      <c r="N205" t="inlineStr">
        <is>
          <t>Venda</t>
        </is>
      </c>
    </row>
    <row r="206">
      <c r="A206" t="inlineStr">
        <is>
          <t>2026-06-28</t>
        </is>
      </c>
      <c r="B206" t="inlineStr">
        <is>
          <t>vivareal.com.br</t>
        </is>
      </c>
      <c r="C206" t="inlineStr">
        <is>
          <t>VivaReal</t>
        </is>
      </c>
      <c r="E206" t="inlineStr">
        <is>
          <t>Casa</t>
        </is>
      </c>
      <c r="F206" t="inlineStr">
        <is>
          <t>Parque Tarumã · Rua Carlos Maurício Duarte</t>
        </is>
      </c>
      <c r="G206" t="n">
        <v>72</v>
      </c>
      <c r="H206" t="n">
        <v>3</v>
      </c>
      <c r="K206" t="n">
        <v>1</v>
      </c>
      <c r="L206" t="n">
        <v>350000</v>
      </c>
      <c r="M206" t="inlineStr">
        <is>
          <t>VivaReal | id:2895163481</t>
        </is>
      </c>
      <c r="N206" t="inlineStr">
        <is>
          <t>Venda</t>
        </is>
      </c>
    </row>
    <row r="207">
      <c r="A207" t="inlineStr">
        <is>
          <t>2026-06-28</t>
        </is>
      </c>
      <c r="B207" t="inlineStr">
        <is>
          <t>vivareal.com.br</t>
        </is>
      </c>
      <c r="C207" t="inlineStr">
        <is>
          <t>VivaReal</t>
        </is>
      </c>
      <c r="E207" t="inlineStr">
        <is>
          <t>Apartamento</t>
        </is>
      </c>
      <c r="F207" t="inlineStr">
        <is>
          <t>Zona 07 · Rua Quintino Bocaiúva</t>
        </is>
      </c>
      <c r="G207" t="n">
        <v>36</v>
      </c>
      <c r="H207" t="n">
        <v>1</v>
      </c>
      <c r="K207" t="n">
        <v>1</v>
      </c>
      <c r="L207" t="n">
        <v>220000</v>
      </c>
      <c r="M207" t="inlineStr">
        <is>
          <t>VivaReal | id:2769790014</t>
        </is>
      </c>
      <c r="N207" t="inlineStr">
        <is>
          <t>Venda</t>
        </is>
      </c>
    </row>
    <row r="208">
      <c r="A208" t="inlineStr">
        <is>
          <t>2026-06-28</t>
        </is>
      </c>
      <c r="B208" t="inlineStr">
        <is>
          <t>vivareal.com.br</t>
        </is>
      </c>
      <c r="C208" t="inlineStr">
        <is>
          <t>VivaReal</t>
        </is>
      </c>
      <c r="E208" t="inlineStr">
        <is>
          <t>Casa</t>
        </is>
      </c>
      <c r="F208" t="inlineStr">
        <is>
          <t>Jardim Monte Rei · Rua Pioneira Luíza Davoglio Bortolatto</t>
        </is>
      </c>
      <c r="G208" t="n">
        <v>108</v>
      </c>
      <c r="H208" t="n">
        <v>2</v>
      </c>
      <c r="K208" t="n">
        <v>1</v>
      </c>
      <c r="L208" t="n">
        <v>480000</v>
      </c>
      <c r="M208" t="inlineStr">
        <is>
          <t>VivaReal | id:2874781520</t>
        </is>
      </c>
      <c r="N208" t="inlineStr">
        <is>
          <t>Venda</t>
        </is>
      </c>
    </row>
    <row r="209">
      <c r="A209" t="inlineStr">
        <is>
          <t>2026-06-28</t>
        </is>
      </c>
      <c r="B209" t="inlineStr">
        <is>
          <t>vivareal.com.br</t>
        </is>
      </c>
      <c r="C209" t="inlineStr">
        <is>
          <t>VivaReal</t>
        </is>
      </c>
      <c r="E209" t="inlineStr">
        <is>
          <t>Terreno</t>
        </is>
      </c>
      <c r="F209" t="inlineStr">
        <is>
          <t>Parque das Laranjeiras · Rua Orlândia</t>
        </is>
      </c>
      <c r="G209" t="n">
        <v>300</v>
      </c>
      <c r="L209" t="n">
        <v>350000</v>
      </c>
      <c r="M209" t="inlineStr">
        <is>
          <t>VivaReal | id:2748029135</t>
        </is>
      </c>
      <c r="N209" t="inlineStr">
        <is>
          <t>Venda</t>
        </is>
      </c>
    </row>
    <row r="210">
      <c r="A210" t="inlineStr">
        <is>
          <t>2026-06-28</t>
        </is>
      </c>
      <c r="B210" t="inlineStr">
        <is>
          <t>vivareal.com.br</t>
        </is>
      </c>
      <c r="C210" t="inlineStr">
        <is>
          <t>VivaReal</t>
        </is>
      </c>
      <c r="E210" t="inlineStr">
        <is>
          <t>Terreno</t>
        </is>
      </c>
      <c r="F210" t="inlineStr">
        <is>
          <t>Residencial Arezzo · Rua Ana Rosa Maria de Jesus Barbosa</t>
        </is>
      </c>
      <c r="G210" t="n">
        <v>275</v>
      </c>
      <c r="L210" t="n">
        <v>157406</v>
      </c>
      <c r="M210" t="inlineStr">
        <is>
          <t>VivaReal | id:2884949305</t>
        </is>
      </c>
      <c r="N210" t="inlineStr">
        <is>
          <t>Venda</t>
        </is>
      </c>
    </row>
    <row r="211">
      <c r="A211" t="inlineStr">
        <is>
          <t>2026-06-28</t>
        </is>
      </c>
      <c r="B211" t="inlineStr">
        <is>
          <t>vivareal.com.br</t>
        </is>
      </c>
      <c r="C211" t="inlineStr">
        <is>
          <t>VivaReal</t>
        </is>
      </c>
      <c r="E211" t="inlineStr">
        <is>
          <t>Apartamento</t>
        </is>
      </c>
      <c r="F211" t="inlineStr">
        <is>
          <t>Zona 07 · Rua Benjamin Constant</t>
        </is>
      </c>
      <c r="G211" t="n">
        <v>66</v>
      </c>
      <c r="H211" t="n">
        <v>2</v>
      </c>
      <c r="K211" t="n">
        <v>2</v>
      </c>
      <c r="L211" t="n">
        <v>695000</v>
      </c>
      <c r="M211" t="inlineStr">
        <is>
          <t>VivaReal | id:2894982278</t>
        </is>
      </c>
      <c r="N211" t="inlineStr">
        <is>
          <t>Venda</t>
        </is>
      </c>
    </row>
    <row r="212">
      <c r="A212" t="inlineStr">
        <is>
          <t>2026-06-28</t>
        </is>
      </c>
      <c r="B212" t="inlineStr">
        <is>
          <t>vivareal.com.br</t>
        </is>
      </c>
      <c r="C212" t="inlineStr">
        <is>
          <t>VivaReal</t>
        </is>
      </c>
      <c r="E212" t="inlineStr">
        <is>
          <t>Terreno</t>
        </is>
      </c>
      <c r="F212" t="inlineStr">
        <is>
          <t>Gleba Patrimônio Sarandi · Rua Almerinda Silveira Coelho</t>
        </is>
      </c>
      <c r="G212" t="n">
        <v>330</v>
      </c>
      <c r="L212" t="n">
        <v>285000</v>
      </c>
      <c r="M212" t="inlineStr">
        <is>
          <t>VivaReal | id:2875820117</t>
        </is>
      </c>
      <c r="N212" t="inlineStr">
        <is>
          <t>Venda</t>
        </is>
      </c>
    </row>
    <row r="213">
      <c r="A213" t="inlineStr">
        <is>
          <t>2026-06-28</t>
        </is>
      </c>
      <c r="B213" t="inlineStr">
        <is>
          <t>vivareal.com.br</t>
        </is>
      </c>
      <c r="C213" t="inlineStr">
        <is>
          <t>VivaReal</t>
        </is>
      </c>
      <c r="E213" t="inlineStr">
        <is>
          <t>Casa</t>
        </is>
      </c>
      <c r="F213" t="inlineStr">
        <is>
          <t>Jardim Catedral · Rua Pioneiro Olivar Freitas de Paiva</t>
        </is>
      </c>
      <c r="G213" t="n">
        <v>116</v>
      </c>
      <c r="H213" t="n">
        <v>3</v>
      </c>
      <c r="K213" t="n">
        <v>2</v>
      </c>
      <c r="L213" t="n">
        <v>720000</v>
      </c>
      <c r="M213" t="inlineStr">
        <is>
          <t>VivaReal | id:2880256875</t>
        </is>
      </c>
      <c r="N213" t="inlineStr">
        <is>
          <t>Venda</t>
        </is>
      </c>
    </row>
    <row r="214">
      <c r="A214" t="inlineStr">
        <is>
          <t>2026-06-28</t>
        </is>
      </c>
      <c r="B214" t="inlineStr">
        <is>
          <t>vivareal.com.br</t>
        </is>
      </c>
      <c r="C214" t="inlineStr">
        <is>
          <t>VivaReal</t>
        </is>
      </c>
      <c r="E214" t="inlineStr">
        <is>
          <t>Terreno</t>
        </is>
      </c>
      <c r="F214" t="inlineStr">
        <is>
          <t>Jardim Leblon · Rua Pioneiro Hettore Giacopini</t>
        </is>
      </c>
      <c r="G214" t="n">
        <v>668</v>
      </c>
      <c r="L214" t="n">
        <v>700000</v>
      </c>
      <c r="M214" t="inlineStr">
        <is>
          <t>VivaReal | id:2872779979</t>
        </is>
      </c>
      <c r="N214" t="inlineStr">
        <is>
          <t>Venda</t>
        </is>
      </c>
    </row>
    <row r="215">
      <c r="A215" t="inlineStr">
        <is>
          <t>2026-06-28</t>
        </is>
      </c>
      <c r="B215" t="inlineStr">
        <is>
          <t>vivareal.com.br</t>
        </is>
      </c>
      <c r="C215" t="inlineStr">
        <is>
          <t>VivaReal</t>
        </is>
      </c>
      <c r="E215" t="inlineStr">
        <is>
          <t>Terreno</t>
        </is>
      </c>
      <c r="F215" t="inlineStr">
        <is>
          <t>Jardim Michelangelo · Rua Nelson de Britto</t>
        </is>
      </c>
      <c r="G215" t="n">
        <v>400</v>
      </c>
      <c r="L215" t="n">
        <v>720342</v>
      </c>
      <c r="M215" t="inlineStr">
        <is>
          <t>VivaReal | id:2892313792</t>
        </is>
      </c>
      <c r="N215" t="inlineStr">
        <is>
          <t>Venda</t>
        </is>
      </c>
    </row>
    <row r="216">
      <c r="A216" t="inlineStr">
        <is>
          <t>2026-06-28</t>
        </is>
      </c>
      <c r="B216" t="inlineStr">
        <is>
          <t>vivareal.com.br</t>
        </is>
      </c>
      <c r="C216" t="inlineStr">
        <is>
          <t>VivaReal</t>
        </is>
      </c>
      <c r="E216" t="inlineStr">
        <is>
          <t>Apartamento</t>
        </is>
      </c>
      <c r="F216" t="inlineStr">
        <is>
          <t>Parque Industrial · Rua Dracena</t>
        </is>
      </c>
      <c r="G216" t="n">
        <v>53</v>
      </c>
      <c r="H216" t="n">
        <v>2</v>
      </c>
      <c r="K216" t="n">
        <v>1</v>
      </c>
      <c r="L216" t="n">
        <v>300000</v>
      </c>
      <c r="M216" t="inlineStr">
        <is>
          <t>VivaReal | id:2878361079</t>
        </is>
      </c>
      <c r="N216" t="inlineStr">
        <is>
          <t>Venda</t>
        </is>
      </c>
    </row>
    <row r="217">
      <c r="A217" t="inlineStr">
        <is>
          <t>2026-06-28</t>
        </is>
      </c>
      <c r="B217" t="inlineStr">
        <is>
          <t>vivareal.com.br</t>
        </is>
      </c>
      <c r="C217" t="inlineStr">
        <is>
          <t>VivaReal</t>
        </is>
      </c>
      <c r="E217" t="inlineStr">
        <is>
          <t>Casa</t>
        </is>
      </c>
      <c r="F217" t="inlineStr">
        <is>
          <t>Parque Residencial Quebec · Rua Kiri</t>
        </is>
      </c>
      <c r="G217" t="n">
        <v>116</v>
      </c>
      <c r="H217" t="n">
        <v>2</v>
      </c>
      <c r="K217" t="n">
        <v>2</v>
      </c>
      <c r="L217" t="n">
        <v>450000</v>
      </c>
      <c r="M217" t="inlineStr">
        <is>
          <t>VivaReal | id:2894566301</t>
        </is>
      </c>
      <c r="N217" t="inlineStr">
        <is>
          <t>Venda</t>
        </is>
      </c>
    </row>
    <row r="218">
      <c r="A218" t="inlineStr">
        <is>
          <t>2026-06-28</t>
        </is>
      </c>
      <c r="B218" t="inlineStr">
        <is>
          <t>vivareal.com.br</t>
        </is>
      </c>
      <c r="C218" t="inlineStr">
        <is>
          <t>VivaReal</t>
        </is>
      </c>
      <c r="E218" t="inlineStr">
        <is>
          <t>Terreno</t>
        </is>
      </c>
      <c r="F218" t="inlineStr">
        <is>
          <t>Jardim Monte Sinai · Rua Inezita Barroso</t>
        </is>
      </c>
      <c r="G218" t="n">
        <v>400</v>
      </c>
      <c r="L218" t="n">
        <v>198000</v>
      </c>
      <c r="M218" t="inlineStr">
        <is>
          <t>VivaReal | id:2864912187</t>
        </is>
      </c>
      <c r="N218" t="inlineStr">
        <is>
          <t>Venda</t>
        </is>
      </c>
    </row>
    <row r="219">
      <c r="A219" t="inlineStr">
        <is>
          <t>2026-06-28</t>
        </is>
      </c>
      <c r="B219" t="inlineStr">
        <is>
          <t>vivareal.com.br</t>
        </is>
      </c>
      <c r="C219" t="inlineStr">
        <is>
          <t>VivaReal</t>
        </is>
      </c>
      <c r="E219" t="inlineStr">
        <is>
          <t>Casa</t>
        </is>
      </c>
      <c r="F219" t="inlineStr">
        <is>
          <t>Parque das Laranjeiras · Rua Paim</t>
        </is>
      </c>
      <c r="G219" t="n">
        <v>104</v>
      </c>
      <c r="H219" t="n">
        <v>3</v>
      </c>
      <c r="K219" t="n">
        <v>2</v>
      </c>
      <c r="L219" t="n">
        <v>530000</v>
      </c>
      <c r="M219" t="inlineStr">
        <is>
          <t>VivaReal | id:2848255552</t>
        </is>
      </c>
      <c r="N219" t="inlineStr">
        <is>
          <t>Venda</t>
        </is>
      </c>
    </row>
    <row r="220">
      <c r="A220" t="inlineStr">
        <is>
          <t>2026-06-28</t>
        </is>
      </c>
      <c r="B220" t="inlineStr">
        <is>
          <t>vivareal.com.br</t>
        </is>
      </c>
      <c r="C220" t="inlineStr">
        <is>
          <t>VivaReal</t>
        </is>
      </c>
      <c r="E220" t="inlineStr">
        <is>
          <t>Terreno</t>
        </is>
      </c>
      <c r="F220" t="inlineStr">
        <is>
          <t>Jardim da Glória · Avenida 7 de Setembro</t>
        </is>
      </c>
      <c r="G220" t="n">
        <v>300</v>
      </c>
      <c r="L220" t="n">
        <v>300000</v>
      </c>
      <c r="M220" t="inlineStr">
        <is>
          <t>VivaReal | id:2883412014</t>
        </is>
      </c>
      <c r="N220" t="inlineStr">
        <is>
          <t>Venda</t>
        </is>
      </c>
    </row>
    <row r="221">
      <c r="A221" t="inlineStr">
        <is>
          <t>2026-06-28</t>
        </is>
      </c>
      <c r="B221" t="inlineStr">
        <is>
          <t>vivareal.com.br</t>
        </is>
      </c>
      <c r="C221" t="inlineStr">
        <is>
          <t>VivaReal</t>
        </is>
      </c>
      <c r="E221" t="inlineStr">
        <is>
          <t>Casa</t>
        </is>
      </c>
      <c r="F221" t="inlineStr">
        <is>
          <t>Jardim Olímpico · Rua Azulão</t>
        </is>
      </c>
      <c r="G221" t="n">
        <v>80</v>
      </c>
      <c r="H221" t="n">
        <v>3</v>
      </c>
      <c r="K221" t="n">
        <v>2</v>
      </c>
      <c r="L221" t="n">
        <v>429000</v>
      </c>
      <c r="M221" t="inlineStr">
        <is>
          <t>VivaReal | id:2894171495</t>
        </is>
      </c>
      <c r="N221" t="inlineStr">
        <is>
          <t>Venda</t>
        </is>
      </c>
    </row>
    <row r="222">
      <c r="A222" t="inlineStr">
        <is>
          <t>2026-06-28</t>
        </is>
      </c>
      <c r="B222" t="inlineStr">
        <is>
          <t>vivareal.com.br</t>
        </is>
      </c>
      <c r="C222" t="inlineStr">
        <is>
          <t>VivaReal</t>
        </is>
      </c>
      <c r="E222" t="inlineStr">
        <is>
          <t>Casa</t>
        </is>
      </c>
      <c r="F222" t="inlineStr">
        <is>
          <t>Jardim Dias I · Rua Arthur Fregadolli</t>
        </is>
      </c>
      <c r="G222" t="n">
        <v>99</v>
      </c>
      <c r="H222" t="n">
        <v>3</v>
      </c>
      <c r="K222" t="n">
        <v>2</v>
      </c>
      <c r="L222" t="n">
        <v>380000</v>
      </c>
      <c r="M222" t="inlineStr">
        <is>
          <t>VivaReal | id:2852203422</t>
        </is>
      </c>
      <c r="N222" t="inlineStr">
        <is>
          <t>Venda</t>
        </is>
      </c>
    </row>
    <row r="223">
      <c r="A223" t="inlineStr">
        <is>
          <t>2026-06-28</t>
        </is>
      </c>
      <c r="B223" t="inlineStr">
        <is>
          <t>vivareal.com.br</t>
        </is>
      </c>
      <c r="C223" t="inlineStr">
        <is>
          <t>VivaReal</t>
        </is>
      </c>
      <c r="E223" t="inlineStr">
        <is>
          <t>Casa</t>
        </is>
      </c>
      <c r="F223" t="inlineStr">
        <is>
          <t>Jardim Europa · Rua Pioneiro José Dionysio da Silva</t>
        </is>
      </c>
      <c r="G223" t="n">
        <v>112</v>
      </c>
      <c r="H223" t="n">
        <v>3</v>
      </c>
      <c r="K223" t="n">
        <v>3</v>
      </c>
      <c r="L223" t="n">
        <v>380000</v>
      </c>
      <c r="M223" t="inlineStr">
        <is>
          <t>VivaReal | id:2843134868</t>
        </is>
      </c>
      <c r="N223" t="inlineStr">
        <is>
          <t>Venda</t>
        </is>
      </c>
    </row>
    <row r="224">
      <c r="A224" t="inlineStr">
        <is>
          <t>2026-06-28</t>
        </is>
      </c>
      <c r="B224" t="inlineStr">
        <is>
          <t>vivareal.com.br</t>
        </is>
      </c>
      <c r="C224" t="inlineStr">
        <is>
          <t>VivaReal</t>
        </is>
      </c>
      <c r="E224" t="inlineStr">
        <is>
          <t>Terreno</t>
        </is>
      </c>
      <c r="F224" t="inlineStr">
        <is>
          <t>Residencial Arezzo · Rua Charles Coelho Luiz</t>
        </is>
      </c>
      <c r="G224" t="n">
        <v>405</v>
      </c>
      <c r="L224" t="n">
        <v>315000</v>
      </c>
      <c r="M224" t="inlineStr">
        <is>
          <t>VivaReal | id:2893970377</t>
        </is>
      </c>
      <c r="N224" t="inlineStr">
        <is>
          <t>Venda</t>
        </is>
      </c>
    </row>
    <row r="225">
      <c r="A225" t="inlineStr">
        <is>
          <t>2026-06-28</t>
        </is>
      </c>
      <c r="B225" t="inlineStr">
        <is>
          <t>vivareal.com.br</t>
        </is>
      </c>
      <c r="C225" t="inlineStr">
        <is>
          <t>VivaReal</t>
        </is>
      </c>
      <c r="E225" t="inlineStr">
        <is>
          <t>Terreno</t>
        </is>
      </c>
      <c r="F225" t="inlineStr">
        <is>
          <t>Conjunto Habitacional Requião · Avenida Franklin Delano Roosevelt</t>
        </is>
      </c>
      <c r="G225" t="n">
        <v>307</v>
      </c>
      <c r="L225" t="n">
        <v>300000</v>
      </c>
      <c r="M225" t="inlineStr">
        <is>
          <t>VivaReal | id:2800675717</t>
        </is>
      </c>
      <c r="N225" t="inlineStr">
        <is>
          <t>Venda</t>
        </is>
      </c>
    </row>
    <row r="226">
      <c r="A226" t="inlineStr">
        <is>
          <t>2026-06-28</t>
        </is>
      </c>
      <c r="B226" t="inlineStr">
        <is>
          <t>vivareal.com.br</t>
        </is>
      </c>
      <c r="C226" t="inlineStr">
        <is>
          <t>VivaReal</t>
        </is>
      </c>
      <c r="E226" t="inlineStr">
        <is>
          <t>Casa</t>
        </is>
      </c>
      <c r="F226" t="inlineStr">
        <is>
          <t>Jardim Paris VI · Rua Dinoh Hundzinski</t>
        </is>
      </c>
      <c r="G226" t="n">
        <v>85</v>
      </c>
      <c r="H226" t="n">
        <v>3</v>
      </c>
      <c r="K226" t="n">
        <v>3</v>
      </c>
      <c r="L226" t="n">
        <v>420000</v>
      </c>
      <c r="M226" t="inlineStr">
        <is>
          <t>VivaReal | id:2843135726</t>
        </is>
      </c>
      <c r="N226" t="inlineStr">
        <is>
          <t>Venda</t>
        </is>
      </c>
    </row>
    <row r="227">
      <c r="A227" t="inlineStr">
        <is>
          <t>2026-06-28</t>
        </is>
      </c>
      <c r="B227" t="inlineStr">
        <is>
          <t>vivareal.com.br</t>
        </is>
      </c>
      <c r="C227" t="inlineStr">
        <is>
          <t>VivaReal</t>
        </is>
      </c>
      <c r="E227" t="inlineStr">
        <is>
          <t>Apartamento</t>
        </is>
      </c>
      <c r="F227" t="inlineStr">
        <is>
          <t>Zona 06 · Rua Castro Alves</t>
        </is>
      </c>
      <c r="G227" t="n">
        <v>52</v>
      </c>
      <c r="H227" t="n">
        <v>2</v>
      </c>
      <c r="K227" t="n">
        <v>1</v>
      </c>
      <c r="L227" t="n">
        <v>260000</v>
      </c>
      <c r="M227" t="inlineStr">
        <is>
          <t>VivaReal | id:2843132406</t>
        </is>
      </c>
      <c r="N227" t="inlineStr">
        <is>
          <t>Venda</t>
        </is>
      </c>
    </row>
    <row r="228">
      <c r="A228" t="inlineStr">
        <is>
          <t>2026-06-28</t>
        </is>
      </c>
      <c r="B228" t="inlineStr">
        <is>
          <t>vivareal.com.br</t>
        </is>
      </c>
      <c r="C228" t="inlineStr">
        <is>
          <t>VivaReal</t>
        </is>
      </c>
      <c r="E228" t="inlineStr">
        <is>
          <t>Terreno</t>
        </is>
      </c>
      <c r="F228" t="inlineStr">
        <is>
          <t>Jardim Rebouças · Avenida das Torres</t>
        </is>
      </c>
      <c r="G228" t="n">
        <v>300</v>
      </c>
      <c r="L228" t="n">
        <v>260000</v>
      </c>
      <c r="M228" t="inlineStr">
        <is>
          <t>VivaReal | id:2782177036</t>
        </is>
      </c>
      <c r="N228" t="inlineStr">
        <is>
          <t>Venda</t>
        </is>
      </c>
    </row>
    <row r="229">
      <c r="A229" t="inlineStr">
        <is>
          <t>2026-06-28</t>
        </is>
      </c>
      <c r="B229" t="inlineStr">
        <is>
          <t>vivareal.com.br</t>
        </is>
      </c>
      <c r="C229" t="inlineStr">
        <is>
          <t>VivaReal</t>
        </is>
      </c>
      <c r="E229" t="inlineStr">
        <is>
          <t>Terreno</t>
        </is>
      </c>
      <c r="F229" t="inlineStr">
        <is>
          <t>Jardim Novo Paulista · Rua Said Jacob</t>
        </is>
      </c>
      <c r="G229" t="n">
        <v>400</v>
      </c>
      <c r="L229" t="n">
        <v>358705</v>
      </c>
      <c r="M229" t="inlineStr">
        <is>
          <t>VivaReal | id:2810385123</t>
        </is>
      </c>
      <c r="N229" t="inlineStr">
        <is>
          <t>Venda</t>
        </is>
      </c>
    </row>
    <row r="230">
      <c r="A230" t="inlineStr">
        <is>
          <t>2026-06-28</t>
        </is>
      </c>
      <c r="B230" t="inlineStr">
        <is>
          <t>vivareal.com.br</t>
        </is>
      </c>
      <c r="C230" t="inlineStr">
        <is>
          <t>VivaReal</t>
        </is>
      </c>
      <c r="E230" t="inlineStr">
        <is>
          <t>Casa</t>
        </is>
      </c>
      <c r="F230" t="inlineStr">
        <is>
          <t>Loteamento Madrid</t>
        </is>
      </c>
      <c r="G230" t="n">
        <v>103</v>
      </c>
      <c r="H230" t="n">
        <v>3</v>
      </c>
      <c r="L230" t="n">
        <v>430000</v>
      </c>
      <c r="M230" t="inlineStr">
        <is>
          <t>VivaReal | id:2886279079</t>
        </is>
      </c>
      <c r="N230" t="inlineStr">
        <is>
          <t>Venda</t>
        </is>
      </c>
    </row>
    <row r="231">
      <c r="A231" t="inlineStr">
        <is>
          <t>2026-06-28</t>
        </is>
      </c>
      <c r="B231" t="inlineStr">
        <is>
          <t>vivareal.com.br</t>
        </is>
      </c>
      <c r="C231" t="inlineStr">
        <is>
          <t>VivaReal</t>
        </is>
      </c>
      <c r="E231" t="inlineStr">
        <is>
          <t>Casa</t>
        </is>
      </c>
      <c r="F231" t="inlineStr">
        <is>
          <t>Parque das Grevíleas 3ª parte · Rua Tucuruí</t>
        </is>
      </c>
      <c r="G231" t="n">
        <v>105</v>
      </c>
      <c r="H231" t="n">
        <v>3</v>
      </c>
      <c r="K231" t="n">
        <v>4</v>
      </c>
      <c r="L231" t="n">
        <v>470000</v>
      </c>
      <c r="M231" t="inlineStr">
        <is>
          <t>VivaReal | id:2843136319</t>
        </is>
      </c>
      <c r="N231" t="inlineStr">
        <is>
          <t>Venda</t>
        </is>
      </c>
    </row>
    <row r="232">
      <c r="A232" t="inlineStr">
        <is>
          <t>2026-06-28</t>
        </is>
      </c>
      <c r="B232" t="inlineStr">
        <is>
          <t>vivareal.com.br</t>
        </is>
      </c>
      <c r="C232" t="inlineStr">
        <is>
          <t>VivaReal</t>
        </is>
      </c>
      <c r="E232" t="inlineStr">
        <is>
          <t>Casa</t>
        </is>
      </c>
      <c r="F232" t="inlineStr">
        <is>
          <t>Jardim Califórnia · Rua Antônio Correia de Oliveira</t>
        </is>
      </c>
      <c r="G232" t="n">
        <v>98</v>
      </c>
      <c r="H232" t="n">
        <v>3</v>
      </c>
      <c r="K232" t="n">
        <v>2</v>
      </c>
      <c r="L232" t="n">
        <v>415000</v>
      </c>
      <c r="M232" t="inlineStr">
        <is>
          <t>VivaReal | id:2759450471</t>
        </is>
      </c>
      <c r="N232" t="inlineStr">
        <is>
          <t>Venda</t>
        </is>
      </c>
    </row>
    <row r="233">
      <c r="A233" t="inlineStr">
        <is>
          <t>2026-06-28</t>
        </is>
      </c>
      <c r="B233" t="inlineStr">
        <is>
          <t>vivareal.com.br</t>
        </is>
      </c>
      <c r="C233" t="inlineStr">
        <is>
          <t>VivaReal</t>
        </is>
      </c>
      <c r="E233" t="inlineStr">
        <is>
          <t>Ponto Comercial</t>
        </is>
      </c>
      <c r="F233" t="inlineStr">
        <is>
          <t>Zona 01 · Praça Deputado Renato Celidônio</t>
        </is>
      </c>
      <c r="G233" t="n">
        <v>800</v>
      </c>
      <c r="K233" t="n">
        <v>10</v>
      </c>
      <c r="L233" t="n">
        <v>350000</v>
      </c>
      <c r="M233" t="inlineStr">
        <is>
          <t>VivaReal | id:2894913378</t>
        </is>
      </c>
      <c r="N233" t="inlineStr">
        <is>
          <t>Venda</t>
        </is>
      </c>
    </row>
    <row r="234">
      <c r="A234" t="inlineStr">
        <is>
          <t>2026-06-28</t>
        </is>
      </c>
      <c r="B234" t="inlineStr">
        <is>
          <t>vivareal.com.br</t>
        </is>
      </c>
      <c r="C234" t="inlineStr">
        <is>
          <t>VivaReal</t>
        </is>
      </c>
      <c r="E234" t="inlineStr">
        <is>
          <t>Apartamento</t>
        </is>
      </c>
      <c r="F234" t="inlineStr">
        <is>
          <t>Vila Marumby · Rua Vasco da Gama</t>
        </is>
      </c>
      <c r="G234" t="n">
        <v>72</v>
      </c>
      <c r="H234" t="n">
        <v>2</v>
      </c>
      <c r="K234" t="n">
        <v>1</v>
      </c>
      <c r="L234" t="n">
        <v>620000</v>
      </c>
      <c r="M234" t="inlineStr">
        <is>
          <t>VivaReal | id:2878759382</t>
        </is>
      </c>
      <c r="N234" t="inlineStr">
        <is>
          <t>Venda</t>
        </is>
      </c>
    </row>
    <row r="235">
      <c r="A235" t="inlineStr">
        <is>
          <t>2026-06-28</t>
        </is>
      </c>
      <c r="B235" t="inlineStr">
        <is>
          <t>vivareal.com.br</t>
        </is>
      </c>
      <c r="C235" t="inlineStr">
        <is>
          <t>VivaReal</t>
        </is>
      </c>
      <c r="E235" t="inlineStr">
        <is>
          <t>Terreno</t>
        </is>
      </c>
      <c r="F235" t="inlineStr">
        <is>
          <t>Jardim Paulista IV · Rua Pioneira Maria Otávia do Nascimento</t>
        </is>
      </c>
      <c r="G235" t="n">
        <v>269</v>
      </c>
      <c r="L235" t="n">
        <v>190000</v>
      </c>
      <c r="M235" t="inlineStr">
        <is>
          <t>VivaReal | id:2854508813</t>
        </is>
      </c>
      <c r="N235" t="inlineStr">
        <is>
          <t>Venda</t>
        </is>
      </c>
    </row>
    <row r="236">
      <c r="A236" t="inlineStr">
        <is>
          <t>2026-06-28</t>
        </is>
      </c>
      <c r="B236" t="inlineStr">
        <is>
          <t>vivareal.com.br</t>
        </is>
      </c>
      <c r="C236" t="inlineStr">
        <is>
          <t>VivaReal</t>
        </is>
      </c>
      <c r="E236" t="inlineStr">
        <is>
          <t>Terreno</t>
        </is>
      </c>
      <c r="F236" t="inlineStr">
        <is>
          <t>Jardim São Clemente · Rua Pioneiro Exaltino Pereira Boa Sorte</t>
        </is>
      </c>
      <c r="G236" t="n">
        <v>400</v>
      </c>
      <c r="L236" t="n">
        <v>450000</v>
      </c>
      <c r="M236" t="inlineStr">
        <is>
          <t>VivaReal | id:2843135367</t>
        </is>
      </c>
      <c r="N236" t="inlineStr">
        <is>
          <t>Venda</t>
        </is>
      </c>
    </row>
    <row r="237">
      <c r="A237" t="inlineStr">
        <is>
          <t>2026-06-28</t>
        </is>
      </c>
      <c r="B237" t="inlineStr">
        <is>
          <t>vivareal.com.br</t>
        </is>
      </c>
      <c r="C237" t="inlineStr">
        <is>
          <t>VivaReal</t>
        </is>
      </c>
      <c r="E237" t="inlineStr">
        <is>
          <t>Terreno</t>
        </is>
      </c>
      <c r="F237" t="inlineStr">
        <is>
          <t>Parque Residencial Quebec · Rua Kiri</t>
        </is>
      </c>
      <c r="G237" t="n">
        <v>253</v>
      </c>
      <c r="L237" t="n">
        <v>175000</v>
      </c>
      <c r="M237" t="inlineStr">
        <is>
          <t>VivaReal | id:2892055606</t>
        </is>
      </c>
      <c r="N237" t="inlineStr">
        <is>
          <t>Venda</t>
        </is>
      </c>
    </row>
    <row r="238">
      <c r="A238" t="inlineStr">
        <is>
          <t>2026-06-28</t>
        </is>
      </c>
      <c r="B238" t="inlineStr">
        <is>
          <t>vivareal.com.br</t>
        </is>
      </c>
      <c r="C238" t="inlineStr">
        <is>
          <t>VivaReal</t>
        </is>
      </c>
      <c r="E238" t="inlineStr">
        <is>
          <t>Casa</t>
        </is>
      </c>
      <c r="F238" t="inlineStr">
        <is>
          <t>Jardim Império do Sol · Rua Almerinda Silveira Coelho</t>
        </is>
      </c>
      <c r="G238" t="n">
        <v>110</v>
      </c>
      <c r="H238" t="n">
        <v>3</v>
      </c>
      <c r="K238" t="n">
        <v>2</v>
      </c>
      <c r="L238" t="n">
        <v>590000</v>
      </c>
      <c r="M238" t="inlineStr">
        <is>
          <t>VivaReal | id:2894634216</t>
        </is>
      </c>
      <c r="N238" t="inlineStr">
        <is>
          <t>Venda</t>
        </is>
      </c>
    </row>
    <row r="239">
      <c r="A239" t="inlineStr">
        <is>
          <t>2026-06-28</t>
        </is>
      </c>
      <c r="B239" t="inlineStr">
        <is>
          <t>vivareal.com.br</t>
        </is>
      </c>
      <c r="C239" t="inlineStr">
        <is>
          <t>VivaReal</t>
        </is>
      </c>
      <c r="E239" t="inlineStr">
        <is>
          <t>Terreno</t>
        </is>
      </c>
      <c r="F239" t="inlineStr">
        <is>
          <t>Jardim Licce · Rua Mieko Imai da Silva</t>
        </is>
      </c>
      <c r="G239" t="n">
        <v>372</v>
      </c>
      <c r="L239" t="n">
        <v>440000</v>
      </c>
      <c r="M239" t="inlineStr">
        <is>
          <t>VivaReal | id:2888981390</t>
        </is>
      </c>
      <c r="N239" t="inlineStr">
        <is>
          <t>Venda</t>
        </is>
      </c>
    </row>
    <row r="240">
      <c r="A240" t="inlineStr">
        <is>
          <t>2026-06-28</t>
        </is>
      </c>
      <c r="B240" t="inlineStr">
        <is>
          <t>vivareal.com.br</t>
        </is>
      </c>
      <c r="C240" t="inlineStr">
        <is>
          <t>VivaReal</t>
        </is>
      </c>
      <c r="E240" t="inlineStr">
        <is>
          <t>Sobrado</t>
        </is>
      </c>
      <c r="F240" t="inlineStr">
        <is>
          <t>Jardim Imperial · Rua Sol Poente</t>
        </is>
      </c>
      <c r="G240" t="n">
        <v>225</v>
      </c>
      <c r="H240" t="n">
        <v>4</v>
      </c>
      <c r="K240" t="n">
        <v>2</v>
      </c>
      <c r="L240" t="n">
        <v>890000</v>
      </c>
      <c r="M240" t="inlineStr">
        <is>
          <t>VivaReal | id:2856189241</t>
        </is>
      </c>
      <c r="N240" t="inlineStr">
        <is>
          <t>Venda</t>
        </is>
      </c>
    </row>
    <row r="241">
      <c r="A241" t="inlineStr">
        <is>
          <t>2026-06-28</t>
        </is>
      </c>
      <c r="B241" t="inlineStr">
        <is>
          <t>vivareal.com.br</t>
        </is>
      </c>
      <c r="C241" t="inlineStr">
        <is>
          <t>VivaReal</t>
        </is>
      </c>
      <c r="E241" t="inlineStr">
        <is>
          <t>Casa</t>
        </is>
      </c>
      <c r="F241" t="inlineStr">
        <is>
          <t>Jardim Ipanema · Rua Adão Elói Trojan</t>
        </is>
      </c>
      <c r="G241" t="n">
        <v>70</v>
      </c>
      <c r="H241" t="n">
        <v>2</v>
      </c>
      <c r="K241" t="n">
        <v>1</v>
      </c>
      <c r="L241" t="n">
        <v>330000</v>
      </c>
      <c r="M241" t="inlineStr">
        <is>
          <t>VivaReal | id:2892222431</t>
        </is>
      </c>
      <c r="N241" t="inlineStr">
        <is>
          <t>Venda</t>
        </is>
      </c>
    </row>
    <row r="242">
      <c r="A242" t="inlineStr">
        <is>
          <t>2026-06-28</t>
        </is>
      </c>
      <c r="B242" t="inlineStr">
        <is>
          <t>vivareal.com.br</t>
        </is>
      </c>
      <c r="C242" t="inlineStr">
        <is>
          <t>VivaReal</t>
        </is>
      </c>
      <c r="E242" t="inlineStr">
        <is>
          <t>Terreno</t>
        </is>
      </c>
      <c r="F242" t="inlineStr">
        <is>
          <t>Vila Emília · Rua São Salvador</t>
        </is>
      </c>
      <c r="G242" t="n">
        <v>456</v>
      </c>
      <c r="L242" t="n">
        <v>620000</v>
      </c>
      <c r="M242" t="inlineStr">
        <is>
          <t>VivaReal | id:2881042880</t>
        </is>
      </c>
      <c r="N242" t="inlineStr">
        <is>
          <t>Venda</t>
        </is>
      </c>
    </row>
    <row r="243">
      <c r="A243" t="inlineStr">
        <is>
          <t>2026-06-28</t>
        </is>
      </c>
      <c r="B243" t="inlineStr">
        <is>
          <t>vivareal.com.br</t>
        </is>
      </c>
      <c r="C243" t="inlineStr">
        <is>
          <t>VivaReal</t>
        </is>
      </c>
      <c r="E243" t="inlineStr">
        <is>
          <t>Terreno</t>
        </is>
      </c>
      <c r="F243" t="inlineStr">
        <is>
          <t>Jardim Olímpico · Rua Arara</t>
        </is>
      </c>
      <c r="G243" t="n">
        <v>420</v>
      </c>
      <c r="L243" t="n">
        <v>305000</v>
      </c>
      <c r="M243" t="inlineStr">
        <is>
          <t>VivaReal | id:2821098263</t>
        </is>
      </c>
      <c r="N243" t="inlineStr">
        <is>
          <t>Venda</t>
        </is>
      </c>
    </row>
    <row r="244">
      <c r="A244" t="inlineStr">
        <is>
          <t>2026-06-28</t>
        </is>
      </c>
      <c r="B244" t="inlineStr">
        <is>
          <t>vivareal.com.br</t>
        </is>
      </c>
      <c r="C244" t="inlineStr">
        <is>
          <t>VivaReal</t>
        </is>
      </c>
      <c r="E244" t="inlineStr">
        <is>
          <t>Apartamento</t>
        </is>
      </c>
      <c r="F244" t="inlineStr">
        <is>
          <t>Jardim das Estações · Avenida Pioneiro Antonio Ruiz Saldanha</t>
        </is>
      </c>
      <c r="G244" t="n">
        <v>43</v>
      </c>
      <c r="H244" t="n">
        <v>2</v>
      </c>
      <c r="L244" t="n">
        <v>250000</v>
      </c>
      <c r="M244" t="inlineStr">
        <is>
          <t>VivaReal | id:2886874580</t>
        </is>
      </c>
      <c r="N244" t="inlineStr">
        <is>
          <t>Venda</t>
        </is>
      </c>
    </row>
    <row r="245">
      <c r="A245" t="inlineStr">
        <is>
          <t>2026-06-28</t>
        </is>
      </c>
      <c r="B245" t="inlineStr">
        <is>
          <t>vivareal.com.br</t>
        </is>
      </c>
      <c r="C245" t="inlineStr">
        <is>
          <t>VivaReal</t>
        </is>
      </c>
      <c r="E245" t="inlineStr">
        <is>
          <t>Casa</t>
        </is>
      </c>
      <c r="F245" t="inlineStr">
        <is>
          <t>Jardim Olímpico · Rua Rouxinol</t>
        </is>
      </c>
      <c r="G245" t="n">
        <v>140</v>
      </c>
      <c r="H245" t="n">
        <v>3</v>
      </c>
      <c r="L245" t="n">
        <v>450000</v>
      </c>
      <c r="M245" t="inlineStr">
        <is>
          <t>VivaReal | id:2759237069</t>
        </is>
      </c>
      <c r="N245" t="inlineStr">
        <is>
          <t>Venda</t>
        </is>
      </c>
    </row>
    <row r="246">
      <c r="A246" t="inlineStr">
        <is>
          <t>2026-06-28</t>
        </is>
      </c>
      <c r="B246" t="inlineStr">
        <is>
          <t>vivareal.com.br</t>
        </is>
      </c>
      <c r="C246" t="inlineStr">
        <is>
          <t>VivaReal</t>
        </is>
      </c>
      <c r="E246" t="inlineStr">
        <is>
          <t>Terreno</t>
        </is>
      </c>
      <c r="F246" t="inlineStr">
        <is>
          <t>Parque Das Laranjeiras</t>
        </is>
      </c>
      <c r="G246" t="n">
        <v>300</v>
      </c>
      <c r="L246" t="n">
        <v>500000</v>
      </c>
      <c r="M246" t="inlineStr">
        <is>
          <t>VivaReal | id:2884504388</t>
        </is>
      </c>
      <c r="N246" t="inlineStr">
        <is>
          <t>Venda</t>
        </is>
      </c>
    </row>
    <row r="247">
      <c r="A247" t="inlineStr">
        <is>
          <t>2026-06-28</t>
        </is>
      </c>
      <c r="B247" t="inlineStr">
        <is>
          <t>vivareal.com.br</t>
        </is>
      </c>
      <c r="C247" t="inlineStr">
        <is>
          <t>VivaReal</t>
        </is>
      </c>
      <c r="E247" t="inlineStr">
        <is>
          <t>Apartamento</t>
        </is>
      </c>
      <c r="F247" t="inlineStr">
        <is>
          <t>Parque Residencial Patrícia · Rua Alexandra</t>
        </is>
      </c>
      <c r="G247" t="n">
        <v>53</v>
      </c>
      <c r="H247" t="n">
        <v>3</v>
      </c>
      <c r="K247" t="n">
        <v>1</v>
      </c>
      <c r="L247" t="n">
        <v>200000</v>
      </c>
      <c r="M247" t="inlineStr">
        <is>
          <t>VivaReal | id:2895070986</t>
        </is>
      </c>
      <c r="N247" t="inlineStr">
        <is>
          <t>Venda</t>
        </is>
      </c>
    </row>
    <row r="248">
      <c r="A248" t="inlineStr">
        <is>
          <t>2026-06-28</t>
        </is>
      </c>
      <c r="B248" t="inlineStr">
        <is>
          <t>vivareal.com.br</t>
        </is>
      </c>
      <c r="C248" t="inlineStr">
        <is>
          <t>VivaReal</t>
        </is>
      </c>
      <c r="E248" t="inlineStr">
        <is>
          <t>Casa</t>
        </is>
      </c>
      <c r="F248" t="inlineStr">
        <is>
          <t>Jardim Monte Rei · Rua Esmeralda</t>
        </is>
      </c>
      <c r="G248" t="n">
        <v>106</v>
      </c>
      <c r="H248" t="n">
        <v>2</v>
      </c>
      <c r="K248" t="n">
        <v>1</v>
      </c>
      <c r="L248" t="n">
        <v>363000</v>
      </c>
      <c r="M248" t="inlineStr">
        <is>
          <t>VivaReal | id:2847349421</t>
        </is>
      </c>
      <c r="N248" t="inlineStr">
        <is>
          <t>Venda</t>
        </is>
      </c>
    </row>
    <row r="249">
      <c r="A249" t="inlineStr">
        <is>
          <t>2026-06-28</t>
        </is>
      </c>
      <c r="B249" t="inlineStr">
        <is>
          <t>vivareal.com.br</t>
        </is>
      </c>
      <c r="C249" t="inlineStr">
        <is>
          <t>VivaReal</t>
        </is>
      </c>
      <c r="E249" t="inlineStr">
        <is>
          <t>Apartamento</t>
        </is>
      </c>
      <c r="F249" t="inlineStr">
        <is>
          <t>Jardim Tropical · Rua Pequi</t>
        </is>
      </c>
      <c r="G249" t="n">
        <v>45</v>
      </c>
      <c r="H249" t="n">
        <v>2</v>
      </c>
      <c r="K249" t="n">
        <v>1</v>
      </c>
      <c r="L249" t="n">
        <v>299000</v>
      </c>
      <c r="M249" t="inlineStr">
        <is>
          <t>VivaReal | id:2893273410</t>
        </is>
      </c>
      <c r="N249" t="inlineStr">
        <is>
          <t>Venda</t>
        </is>
      </c>
    </row>
    <row r="250">
      <c r="A250" t="inlineStr">
        <is>
          <t>2026-06-28</t>
        </is>
      </c>
      <c r="B250" t="inlineStr">
        <is>
          <t>vivareal.com.br</t>
        </is>
      </c>
      <c r="C250" t="inlineStr">
        <is>
          <t>VivaReal</t>
        </is>
      </c>
      <c r="E250" t="inlineStr">
        <is>
          <t>Casa</t>
        </is>
      </c>
      <c r="F250" t="inlineStr">
        <is>
          <t>Jardim Paulista · Rua Pioneiro José Borin</t>
        </is>
      </c>
      <c r="G250" t="n">
        <v>99</v>
      </c>
      <c r="H250" t="n">
        <v>3</v>
      </c>
      <c r="K250" t="n">
        <v>2</v>
      </c>
      <c r="L250" t="n">
        <v>360000</v>
      </c>
      <c r="M250" t="inlineStr">
        <is>
          <t>VivaReal | id:2697229183</t>
        </is>
      </c>
      <c r="N250" t="inlineStr">
        <is>
          <t>Venda</t>
        </is>
      </c>
    </row>
    <row r="251">
      <c r="A251" t="inlineStr">
        <is>
          <t>2026-06-28</t>
        </is>
      </c>
      <c r="B251" t="inlineStr">
        <is>
          <t>vivareal.com.br</t>
        </is>
      </c>
      <c r="C251" t="inlineStr">
        <is>
          <t>VivaReal</t>
        </is>
      </c>
      <c r="E251" t="inlineStr">
        <is>
          <t>Terreno</t>
        </is>
      </c>
      <c r="F251" t="inlineStr">
        <is>
          <t>Jardim Paraíso · Rua Pioneiro Carlos Bulla</t>
        </is>
      </c>
      <c r="G251" t="n">
        <v>318</v>
      </c>
      <c r="L251" t="n">
        <v>310000</v>
      </c>
      <c r="M251" t="inlineStr">
        <is>
          <t>VivaReal | id:2875750390</t>
        </is>
      </c>
      <c r="N251" t="inlineStr">
        <is>
          <t>Venda</t>
        </is>
      </c>
    </row>
    <row r="252">
      <c r="A252" t="inlineStr">
        <is>
          <t>2026-06-28</t>
        </is>
      </c>
      <c r="B252" t="inlineStr">
        <is>
          <t>vivareal.com.br</t>
        </is>
      </c>
      <c r="C252" t="inlineStr">
        <is>
          <t>VivaReal</t>
        </is>
      </c>
      <c r="E252" t="inlineStr">
        <is>
          <t>Terreno</t>
        </is>
      </c>
      <c r="F252" t="inlineStr">
        <is>
          <t>Jardim Novo Oásis · Rua Rio Belo</t>
        </is>
      </c>
      <c r="G252" t="n">
        <v>360</v>
      </c>
      <c r="L252" t="n">
        <v>378000</v>
      </c>
      <c r="M252" t="inlineStr">
        <is>
          <t>VivaReal | id:2821103269</t>
        </is>
      </c>
      <c r="N252" t="inlineStr">
        <is>
          <t>Venda</t>
        </is>
      </c>
    </row>
    <row r="253">
      <c r="A253" t="inlineStr">
        <is>
          <t>2026-06-28</t>
        </is>
      </c>
      <c r="B253" t="inlineStr">
        <is>
          <t>vivareal.com.br</t>
        </is>
      </c>
      <c r="C253" t="inlineStr">
        <is>
          <t>VivaReal</t>
        </is>
      </c>
      <c r="E253" t="inlineStr">
        <is>
          <t>Casa</t>
        </is>
      </c>
      <c r="F253" t="inlineStr">
        <is>
          <t>Jardim Dias I · Rua Pioneiro Jurandyr Schelles</t>
        </is>
      </c>
      <c r="G253" t="n">
        <v>109</v>
      </c>
      <c r="H253" t="n">
        <v>3</v>
      </c>
      <c r="K253" t="n">
        <v>1</v>
      </c>
      <c r="L253" t="n">
        <v>399000</v>
      </c>
      <c r="M253" t="inlineStr">
        <is>
          <t>VivaReal | id:2887905709</t>
        </is>
      </c>
      <c r="N253" t="inlineStr">
        <is>
          <t>Venda</t>
        </is>
      </c>
    </row>
    <row r="254">
      <c r="A254" t="inlineStr">
        <is>
          <t>2026-06-28</t>
        </is>
      </c>
      <c r="B254" t="inlineStr">
        <is>
          <t>vivareal.com.br</t>
        </is>
      </c>
      <c r="C254" t="inlineStr">
        <is>
          <t>VivaReal</t>
        </is>
      </c>
      <c r="E254" t="inlineStr">
        <is>
          <t>Terreno</t>
        </is>
      </c>
      <c r="F254" t="inlineStr">
        <is>
          <t>Jardim Licce · Rua Ivaldo Borges Horta</t>
        </is>
      </c>
      <c r="G254" t="n">
        <v>300</v>
      </c>
      <c r="L254" t="n">
        <v>320000</v>
      </c>
      <c r="M254" t="inlineStr">
        <is>
          <t>VivaReal | id:2821092999</t>
        </is>
      </c>
      <c r="N254" t="inlineStr">
        <is>
          <t>Venda</t>
        </is>
      </c>
    </row>
    <row r="255">
      <c r="A255" t="inlineStr">
        <is>
          <t>2026-06-28</t>
        </is>
      </c>
      <c r="B255" t="inlineStr">
        <is>
          <t>vivareal.com.br</t>
        </is>
      </c>
      <c r="C255" t="inlineStr">
        <is>
          <t>VivaReal</t>
        </is>
      </c>
      <c r="E255" t="inlineStr">
        <is>
          <t>Terreno</t>
        </is>
      </c>
      <c r="F255" t="inlineStr">
        <is>
          <t>Vila Morangueira · Rua Pioneiro Isaac José de Faria</t>
        </is>
      </c>
      <c r="G255" t="n">
        <v>383</v>
      </c>
      <c r="L255" t="n">
        <v>250000</v>
      </c>
      <c r="M255" t="inlineStr">
        <is>
          <t>VivaReal | id:2840241622</t>
        </is>
      </c>
      <c r="N255" t="inlineStr">
        <is>
          <t>Venda</t>
        </is>
      </c>
    </row>
    <row r="256">
      <c r="A256" t="inlineStr">
        <is>
          <t>2026-06-28</t>
        </is>
      </c>
      <c r="B256" t="inlineStr">
        <is>
          <t>vivareal.com.br</t>
        </is>
      </c>
      <c r="C256" t="inlineStr">
        <is>
          <t>VivaReal</t>
        </is>
      </c>
      <c r="E256" t="inlineStr">
        <is>
          <t>Apartamento</t>
        </is>
      </c>
      <c r="F256" t="inlineStr">
        <is>
          <t>Jardim Higienópolis · Avenida Arquiteto Nildo Ribeiro da Rocha</t>
        </is>
      </c>
      <c r="G256" t="n">
        <v>61</v>
      </c>
      <c r="H256" t="n">
        <v>2</v>
      </c>
      <c r="L256" t="n">
        <v>500041</v>
      </c>
      <c r="M256" t="inlineStr">
        <is>
          <t>VivaReal | id:2893273411</t>
        </is>
      </c>
      <c r="N256" t="inlineStr">
        <is>
          <t>Venda</t>
        </is>
      </c>
    </row>
    <row r="257">
      <c r="A257" t="inlineStr">
        <is>
          <t>2026-06-28</t>
        </is>
      </c>
      <c r="B257" t="inlineStr">
        <is>
          <t>vivareal.com.br</t>
        </is>
      </c>
      <c r="C257" t="inlineStr">
        <is>
          <t>VivaReal</t>
        </is>
      </c>
      <c r="E257" t="inlineStr">
        <is>
          <t>Terreno</t>
        </is>
      </c>
      <c r="F257" t="inlineStr">
        <is>
          <t>Jardim Michelangelo · 5º Alto Pioneiro José Tel</t>
        </is>
      </c>
      <c r="G257" t="n">
        <v>400</v>
      </c>
      <c r="L257" t="n">
        <v>681122</v>
      </c>
      <c r="M257" t="inlineStr">
        <is>
          <t>VivaReal | id:2892313491</t>
        </is>
      </c>
      <c r="N257" t="inlineStr">
        <is>
          <t>Venda</t>
        </is>
      </c>
    </row>
    <row r="258">
      <c r="A258" t="inlineStr">
        <is>
          <t>2026-06-28</t>
        </is>
      </c>
      <c r="B258" t="inlineStr">
        <is>
          <t>vivareal.com.br</t>
        </is>
      </c>
      <c r="C258" t="inlineStr">
        <is>
          <t>VivaReal</t>
        </is>
      </c>
      <c r="E258" t="inlineStr">
        <is>
          <t>Casa</t>
        </is>
      </c>
      <c r="F258" t="inlineStr">
        <is>
          <t>Jardim Monte Rei · Rua Marçal Candido Siqueira</t>
        </is>
      </c>
      <c r="G258" t="n">
        <v>107</v>
      </c>
      <c r="H258" t="n">
        <v>3</v>
      </c>
      <c r="L258" t="n">
        <v>450000</v>
      </c>
      <c r="M258" t="inlineStr">
        <is>
          <t>VivaReal | id:2833477338</t>
        </is>
      </c>
      <c r="N258" t="inlineStr">
        <is>
          <t>Venda</t>
        </is>
      </c>
    </row>
    <row r="259">
      <c r="A259" t="inlineStr">
        <is>
          <t>2026-06-28</t>
        </is>
      </c>
      <c r="B259" t="inlineStr">
        <is>
          <t>vivareal.com.br</t>
        </is>
      </c>
      <c r="C259" t="inlineStr">
        <is>
          <t>VivaReal</t>
        </is>
      </c>
      <c r="E259" t="inlineStr">
        <is>
          <t>Terreno</t>
        </is>
      </c>
      <c r="F259" t="inlineStr">
        <is>
          <t>Vila Esperança · Avenida Pioneiro Alício Arantes Campolina</t>
        </is>
      </c>
      <c r="G259" t="n">
        <v>251</v>
      </c>
      <c r="L259" t="n">
        <v>360000</v>
      </c>
      <c r="M259" t="inlineStr">
        <is>
          <t>VivaReal | id:2871158514</t>
        </is>
      </c>
      <c r="N259" t="inlineStr">
        <is>
          <t>Venda</t>
        </is>
      </c>
    </row>
    <row r="260">
      <c r="A260" t="inlineStr">
        <is>
          <t>2026-06-28</t>
        </is>
      </c>
      <c r="B260" t="inlineStr">
        <is>
          <t>vivareal.com.br</t>
        </is>
      </c>
      <c r="C260" t="inlineStr">
        <is>
          <t>VivaReal</t>
        </is>
      </c>
      <c r="E260" t="inlineStr">
        <is>
          <t>Casa</t>
        </is>
      </c>
      <c r="F260" t="inlineStr">
        <is>
          <t>Conjunto Habitacional Requião · Rua Libertador San Martim</t>
        </is>
      </c>
      <c r="G260" t="n">
        <v>80</v>
      </c>
      <c r="H260" t="n">
        <v>3</v>
      </c>
      <c r="K260" t="n">
        <v>2</v>
      </c>
      <c r="L260" t="n">
        <v>400000</v>
      </c>
      <c r="M260" t="inlineStr">
        <is>
          <t>VivaReal | id:2886954598</t>
        </is>
      </c>
      <c r="N260" t="inlineStr">
        <is>
          <t>Venda</t>
        </is>
      </c>
    </row>
    <row r="261">
      <c r="A261" t="inlineStr">
        <is>
          <t>2026-06-28</t>
        </is>
      </c>
      <c r="B261" t="inlineStr">
        <is>
          <t>vivareal.com.br</t>
        </is>
      </c>
      <c r="C261" t="inlineStr">
        <is>
          <t>VivaReal</t>
        </is>
      </c>
      <c r="E261" t="inlineStr">
        <is>
          <t>Terreno</t>
        </is>
      </c>
      <c r="F261" t="inlineStr">
        <is>
          <t>Conjunto Habitacional Requião · Rua Said Jacob</t>
        </is>
      </c>
      <c r="G261" t="n">
        <v>400</v>
      </c>
      <c r="L261" t="n">
        <v>358705</v>
      </c>
      <c r="M261" t="inlineStr">
        <is>
          <t>VivaReal | id:2810385422</t>
        </is>
      </c>
      <c r="N261" t="inlineStr">
        <is>
          <t>Venda</t>
        </is>
      </c>
    </row>
    <row r="262">
      <c r="A262" t="inlineStr">
        <is>
          <t>2026-06-28</t>
        </is>
      </c>
      <c r="B262" t="inlineStr">
        <is>
          <t>vivareal.com.br</t>
        </is>
      </c>
      <c r="C262" t="inlineStr">
        <is>
          <t>VivaReal</t>
        </is>
      </c>
      <c r="E262" t="inlineStr">
        <is>
          <t>Casa</t>
        </is>
      </c>
      <c r="F262" t="inlineStr">
        <is>
          <t>Jardim Dias I · Rua Pioneiro Jurandyr Schelles</t>
        </is>
      </c>
      <c r="G262" t="n">
        <v>112</v>
      </c>
      <c r="H262" t="n">
        <v>3</v>
      </c>
      <c r="L262" t="n">
        <v>400000</v>
      </c>
      <c r="M262" t="inlineStr">
        <is>
          <t>VivaReal | id:2894742609</t>
        </is>
      </c>
      <c r="N262" t="inlineStr">
        <is>
          <t>Venda</t>
        </is>
      </c>
    </row>
    <row r="263">
      <c r="A263" t="inlineStr">
        <is>
          <t>2026-06-28</t>
        </is>
      </c>
      <c r="B263" t="inlineStr">
        <is>
          <t>vivareal.com.br</t>
        </is>
      </c>
      <c r="C263" t="inlineStr">
        <is>
          <t>VivaReal</t>
        </is>
      </c>
      <c r="E263" t="inlineStr">
        <is>
          <t>Apartamento</t>
        </is>
      </c>
      <c r="F263" t="inlineStr">
        <is>
          <t>Loteamento Malbec · Rua Nardina Rodrigues Johansen</t>
        </is>
      </c>
      <c r="G263" t="n">
        <v>51</v>
      </c>
      <c r="H263" t="n">
        <v>2</v>
      </c>
      <c r="K263" t="n">
        <v>1</v>
      </c>
      <c r="L263" t="n">
        <v>320000</v>
      </c>
      <c r="M263" t="inlineStr">
        <is>
          <t>VivaReal | id:2812713633</t>
        </is>
      </c>
      <c r="N263" t="inlineStr">
        <is>
          <t>Venda</t>
        </is>
      </c>
    </row>
    <row r="264">
      <c r="A264" t="inlineStr">
        <is>
          <t>2026-06-28</t>
        </is>
      </c>
      <c r="B264" t="inlineStr">
        <is>
          <t>vivareal.com.br</t>
        </is>
      </c>
      <c r="C264" t="inlineStr">
        <is>
          <t>VivaReal</t>
        </is>
      </c>
      <c r="E264" t="inlineStr">
        <is>
          <t>Terreno</t>
        </is>
      </c>
      <c r="F264" t="inlineStr">
        <is>
          <t>Jardim Paulista IV · Rua João Carneiro Filgueiras</t>
        </is>
      </c>
      <c r="G264" t="n">
        <v>144</v>
      </c>
      <c r="L264" t="n">
        <v>670000</v>
      </c>
      <c r="M264" t="inlineStr">
        <is>
          <t>VivaReal | id:2886954300</t>
        </is>
      </c>
      <c r="N264" t="inlineStr">
        <is>
          <t>Venda</t>
        </is>
      </c>
    </row>
    <row r="265">
      <c r="A265" t="inlineStr">
        <is>
          <t>2026-06-28</t>
        </is>
      </c>
      <c r="B265" t="inlineStr">
        <is>
          <t>vivareal.com.br</t>
        </is>
      </c>
      <c r="C265" t="inlineStr">
        <is>
          <t>VivaReal</t>
        </is>
      </c>
      <c r="E265" t="inlineStr">
        <is>
          <t>Apartamento</t>
        </is>
      </c>
      <c r="F265" t="inlineStr">
        <is>
          <t>Zona 01 · Avenida João Paulino Vieira Filho</t>
        </is>
      </c>
      <c r="G265" t="n">
        <v>48</v>
      </c>
      <c r="H265" t="n">
        <v>1</v>
      </c>
      <c r="K265" t="n">
        <v>1</v>
      </c>
      <c r="L265" t="n">
        <v>395000</v>
      </c>
      <c r="M265" t="inlineStr">
        <is>
          <t>VivaReal | id:2883644298</t>
        </is>
      </c>
      <c r="N265" t="inlineStr">
        <is>
          <t>Venda</t>
        </is>
      </c>
    </row>
    <row r="266">
      <c r="A266" t="inlineStr">
        <is>
          <t>2026-06-28</t>
        </is>
      </c>
      <c r="B266" t="inlineStr">
        <is>
          <t>vivareal.com.br</t>
        </is>
      </c>
      <c r="C266" t="inlineStr">
        <is>
          <t>VivaReal</t>
        </is>
      </c>
      <c r="E266" t="inlineStr">
        <is>
          <t>Terreno</t>
        </is>
      </c>
      <c r="F266" t="inlineStr">
        <is>
          <t>Jardim Everest · Rua Rosana Cambaúva Cordeiro</t>
        </is>
      </c>
      <c r="G266" t="n">
        <v>301</v>
      </c>
      <c r="L266" t="n">
        <v>300000</v>
      </c>
      <c r="M266" t="inlineStr">
        <is>
          <t>VivaReal | id:2875027091</t>
        </is>
      </c>
      <c r="N266" t="inlineStr">
        <is>
          <t>Venda</t>
        </is>
      </c>
    </row>
    <row r="267">
      <c r="A267" t="inlineStr">
        <is>
          <t>2026-06-28</t>
        </is>
      </c>
      <c r="B267" t="inlineStr">
        <is>
          <t>vivareal.com.br</t>
        </is>
      </c>
      <c r="C267" t="inlineStr">
        <is>
          <t>VivaReal</t>
        </is>
      </c>
      <c r="E267" t="inlineStr">
        <is>
          <t>Terreno</t>
        </is>
      </c>
      <c r="F267" t="inlineStr">
        <is>
          <t>Jardim Atlanta · Rua Seul</t>
        </is>
      </c>
      <c r="G267" t="n">
        <v>81</v>
      </c>
      <c r="L267" t="n">
        <v>300000</v>
      </c>
      <c r="M267" t="inlineStr">
        <is>
          <t>VivaReal | id:2872781595</t>
        </is>
      </c>
      <c r="N267" t="inlineStr">
        <is>
          <t>Venda</t>
        </is>
      </c>
    </row>
    <row r="268">
      <c r="A268" t="inlineStr">
        <is>
          <t>2026-06-28</t>
        </is>
      </c>
      <c r="B268" t="inlineStr">
        <is>
          <t>vivareal.com.br</t>
        </is>
      </c>
      <c r="C268" t="inlineStr">
        <is>
          <t>VivaReal</t>
        </is>
      </c>
      <c r="E268" t="inlineStr">
        <is>
          <t>Casa</t>
        </is>
      </c>
      <c r="F268" t="inlineStr">
        <is>
          <t>Conjunto Habitacional Sanenge · Rua Cotovia do Campo</t>
        </is>
      </c>
      <c r="G268" t="n">
        <v>110</v>
      </c>
      <c r="H268" t="n">
        <v>3</v>
      </c>
      <c r="K268" t="n">
        <v>1</v>
      </c>
      <c r="L268" t="n">
        <v>399000</v>
      </c>
      <c r="M268" t="inlineStr">
        <is>
          <t>VivaReal | id:2885435021</t>
        </is>
      </c>
      <c r="N268" t="inlineStr">
        <is>
          <t>Venda</t>
        </is>
      </c>
    </row>
    <row r="269">
      <c r="A269" t="inlineStr">
        <is>
          <t>2026-06-28</t>
        </is>
      </c>
      <c r="B269" t="inlineStr">
        <is>
          <t>vivareal.com.br</t>
        </is>
      </c>
      <c r="C269" t="inlineStr">
        <is>
          <t>VivaReal</t>
        </is>
      </c>
      <c r="E269" t="inlineStr">
        <is>
          <t>Casa</t>
        </is>
      </c>
      <c r="F269" t="inlineStr">
        <is>
          <t>Jardim Paulista IV · Rua Pioneiro Joaquim Pedro de Oliveira</t>
        </is>
      </c>
      <c r="G269" t="n">
        <v>121</v>
      </c>
      <c r="H269" t="n">
        <v>2</v>
      </c>
      <c r="K269" t="n">
        <v>2</v>
      </c>
      <c r="L269" t="n">
        <v>350000</v>
      </c>
      <c r="M269" t="inlineStr">
        <is>
          <t>VivaReal | id:2813494816</t>
        </is>
      </c>
      <c r="N269" t="inlineStr">
        <is>
          <t>Venda</t>
        </is>
      </c>
    </row>
    <row r="270">
      <c r="A270" t="inlineStr">
        <is>
          <t>2026-06-28</t>
        </is>
      </c>
      <c r="B270" t="inlineStr">
        <is>
          <t>vivareal.com.br</t>
        </is>
      </c>
      <c r="C270" t="inlineStr">
        <is>
          <t>VivaReal</t>
        </is>
      </c>
      <c r="E270" t="inlineStr">
        <is>
          <t>Apartamento</t>
        </is>
      </c>
      <c r="F270" t="inlineStr">
        <is>
          <t>Zona 08 · Avenida Londrina</t>
        </is>
      </c>
      <c r="G270" t="n">
        <v>76</v>
      </c>
      <c r="H270" t="n">
        <v>1</v>
      </c>
      <c r="K270" t="n">
        <v>1</v>
      </c>
      <c r="L270" t="n">
        <v>600000</v>
      </c>
      <c r="M270" t="inlineStr">
        <is>
          <t>VivaReal | id:2895106695</t>
        </is>
      </c>
      <c r="N270" t="inlineStr">
        <is>
          <t>Venda</t>
        </is>
      </c>
    </row>
    <row r="271">
      <c r="A271" t="inlineStr">
        <is>
          <t>2026-06-28</t>
        </is>
      </c>
      <c r="B271" t="inlineStr">
        <is>
          <t>vivareal.com.br</t>
        </is>
      </c>
      <c r="C271" t="inlineStr">
        <is>
          <t>VivaReal</t>
        </is>
      </c>
      <c r="E271" t="inlineStr">
        <is>
          <t>Casa</t>
        </is>
      </c>
      <c r="F271" t="inlineStr">
        <is>
          <t>Loteamento Sumaré · Rua Maria Augusta Pereira Vomstein</t>
        </is>
      </c>
      <c r="G271" t="n">
        <v>105</v>
      </c>
      <c r="H271" t="n">
        <v>3</v>
      </c>
      <c r="K271" t="n">
        <v>2</v>
      </c>
      <c r="L271" t="n">
        <v>445000</v>
      </c>
      <c r="M271" t="inlineStr">
        <is>
          <t>VivaReal | id:2876278892</t>
        </is>
      </c>
      <c r="N271" t="inlineStr">
        <is>
          <t>Venda</t>
        </is>
      </c>
    </row>
    <row r="272">
      <c r="A272" t="inlineStr">
        <is>
          <t>2026-06-28</t>
        </is>
      </c>
      <c r="B272" t="inlineStr">
        <is>
          <t>vivareal.com.br</t>
        </is>
      </c>
      <c r="C272" t="inlineStr">
        <is>
          <t>VivaReal</t>
        </is>
      </c>
      <c r="E272" t="inlineStr">
        <is>
          <t>Terreno</t>
        </is>
      </c>
      <c r="F272" t="inlineStr">
        <is>
          <t>Parque das Laranjeiras · Avenida Pintassilgo</t>
        </is>
      </c>
      <c r="G272" t="n">
        <v>619</v>
      </c>
      <c r="L272" t="n">
        <v>355000</v>
      </c>
      <c r="M272" t="inlineStr">
        <is>
          <t>VivaReal | id:2800675618</t>
        </is>
      </c>
      <c r="N272" t="inlineStr">
        <is>
          <t>Venda</t>
        </is>
      </c>
    </row>
    <row r="273">
      <c r="A273" t="inlineStr">
        <is>
          <t>2026-06-28</t>
        </is>
      </c>
      <c r="B273" t="inlineStr">
        <is>
          <t>vivareal.com.br</t>
        </is>
      </c>
      <c r="C273" t="inlineStr">
        <is>
          <t>VivaReal</t>
        </is>
      </c>
      <c r="E273" t="inlineStr">
        <is>
          <t>Casa</t>
        </is>
      </c>
      <c r="F273" t="inlineStr">
        <is>
          <t>Jardim Alvorada · Rua Pastor Anísio Francisco da Silva</t>
        </is>
      </c>
      <c r="G273" t="n">
        <v>194</v>
      </c>
      <c r="H273" t="n">
        <v>3</v>
      </c>
      <c r="K273" t="n">
        <v>2</v>
      </c>
      <c r="L273" t="n">
        <v>490000</v>
      </c>
      <c r="M273" t="inlineStr">
        <is>
          <t>VivaReal | id:2894771990</t>
        </is>
      </c>
      <c r="N273" t="inlineStr">
        <is>
          <t>Venda</t>
        </is>
      </c>
    </row>
    <row r="274">
      <c r="A274" t="inlineStr">
        <is>
          <t>2026-06-28</t>
        </is>
      </c>
      <c r="B274" t="inlineStr">
        <is>
          <t>vivareal.com.br</t>
        </is>
      </c>
      <c r="C274" t="inlineStr">
        <is>
          <t>VivaReal</t>
        </is>
      </c>
      <c r="E274" t="inlineStr">
        <is>
          <t>Terreno</t>
        </is>
      </c>
      <c r="F274" t="inlineStr">
        <is>
          <t>Jardim Pilar · Rua Pioneira Eva Augusta da Fonseca</t>
        </is>
      </c>
      <c r="G274" t="n">
        <v>206</v>
      </c>
      <c r="L274" t="n">
        <v>186000</v>
      </c>
      <c r="M274" t="inlineStr">
        <is>
          <t>VivaReal | id:2873733774</t>
        </is>
      </c>
      <c r="N274" t="inlineStr">
        <is>
          <t>Venda</t>
        </is>
      </c>
    </row>
    <row r="275">
      <c r="A275" t="inlineStr">
        <is>
          <t>2026-06-28</t>
        </is>
      </c>
      <c r="B275" t="inlineStr">
        <is>
          <t>vivareal.com.br</t>
        </is>
      </c>
      <c r="C275" t="inlineStr">
        <is>
          <t>VivaReal</t>
        </is>
      </c>
      <c r="E275" t="inlineStr">
        <is>
          <t>Terreno</t>
        </is>
      </c>
      <c r="F275" t="inlineStr">
        <is>
          <t>Bom Jardim · Rua Pioneiro Geraldo Portela</t>
        </is>
      </c>
      <c r="G275" t="n">
        <v>324</v>
      </c>
      <c r="L275" t="n">
        <v>299000</v>
      </c>
      <c r="M275" t="inlineStr">
        <is>
          <t>VivaReal | id:2873668088</t>
        </is>
      </c>
      <c r="N275" t="inlineStr">
        <is>
          <t>Venda</t>
        </is>
      </c>
    </row>
    <row r="276">
      <c r="A276" t="inlineStr">
        <is>
          <t>2026-06-28</t>
        </is>
      </c>
      <c r="B276" t="inlineStr">
        <is>
          <t>vivareal.com.br</t>
        </is>
      </c>
      <c r="C276" t="inlineStr">
        <is>
          <t>VivaReal</t>
        </is>
      </c>
      <c r="E276" t="inlineStr">
        <is>
          <t>Terreno</t>
        </is>
      </c>
      <c r="F276" t="inlineStr">
        <is>
          <t>Conjunto Habitacional Requião · Rua Erondino Antônio Pinhata</t>
        </is>
      </c>
      <c r="G276" t="n">
        <v>400</v>
      </c>
      <c r="L276" t="n">
        <v>345000</v>
      </c>
      <c r="M276" t="inlineStr">
        <is>
          <t>VivaReal | id:2872779817</t>
        </is>
      </c>
      <c r="N276" t="inlineStr">
        <is>
          <t>Venda</t>
        </is>
      </c>
    </row>
    <row r="277">
      <c r="A277" t="inlineStr">
        <is>
          <t>2026-06-28</t>
        </is>
      </c>
      <c r="B277" t="inlineStr">
        <is>
          <t>vivareal.com.br</t>
        </is>
      </c>
      <c r="C277" t="inlineStr">
        <is>
          <t>VivaReal</t>
        </is>
      </c>
      <c r="E277" t="inlineStr">
        <is>
          <t>Terreno</t>
        </is>
      </c>
      <c r="F277" t="inlineStr">
        <is>
          <t>Parque Tarumã · Rua Pastor Antônio Luiz Furlan</t>
        </is>
      </c>
      <c r="G277" t="n">
        <v>300</v>
      </c>
      <c r="L277" t="n">
        <v>250000</v>
      </c>
      <c r="M277" t="inlineStr">
        <is>
          <t>VivaReal | id:2893903191</t>
        </is>
      </c>
      <c r="N277" t="inlineStr">
        <is>
          <t>Venda</t>
        </is>
      </c>
    </row>
    <row r="278">
      <c r="A278" t="inlineStr">
        <is>
          <t>2026-06-28</t>
        </is>
      </c>
      <c r="B278" t="inlineStr">
        <is>
          <t>vivareal.com.br</t>
        </is>
      </c>
      <c r="C278" t="inlineStr">
        <is>
          <t>VivaReal</t>
        </is>
      </c>
      <c r="E278" t="inlineStr">
        <is>
          <t>Terreno</t>
        </is>
      </c>
      <c r="F278" t="inlineStr">
        <is>
          <t>Bom Jardim · Rua Pioneiro Geraldo Portela</t>
        </is>
      </c>
      <c r="G278" t="n">
        <v>475</v>
      </c>
      <c r="L278" t="n">
        <v>390795</v>
      </c>
      <c r="M278" t="inlineStr">
        <is>
          <t>VivaReal | id:2718696862</t>
        </is>
      </c>
      <c r="N278" t="inlineStr">
        <is>
          <t>Venda</t>
        </is>
      </c>
    </row>
    <row r="279">
      <c r="A279" t="inlineStr">
        <is>
          <t>2026-06-28</t>
        </is>
      </c>
      <c r="B279" t="inlineStr">
        <is>
          <t>vivareal.com.br</t>
        </is>
      </c>
      <c r="C279" t="inlineStr">
        <is>
          <t>VivaReal</t>
        </is>
      </c>
      <c r="E279" t="inlineStr">
        <is>
          <t>Terreno</t>
        </is>
      </c>
      <c r="F279" t="inlineStr">
        <is>
          <t>Parque das Laranjeiras · Rua Pioneiro Basílio Moreschi</t>
        </is>
      </c>
      <c r="G279" t="n">
        <v>300</v>
      </c>
      <c r="L279" t="n">
        <v>295000</v>
      </c>
      <c r="M279" t="inlineStr">
        <is>
          <t>VivaReal | id:2817400123</t>
        </is>
      </c>
      <c r="N279" t="inlineStr">
        <is>
          <t>Venda</t>
        </is>
      </c>
    </row>
    <row r="280">
      <c r="A280" t="inlineStr">
        <is>
          <t>2026-06-28</t>
        </is>
      </c>
      <c r="B280" t="inlineStr">
        <is>
          <t>vivareal.com.br</t>
        </is>
      </c>
      <c r="C280" t="inlineStr">
        <is>
          <t>VivaReal</t>
        </is>
      </c>
      <c r="E280" t="inlineStr">
        <is>
          <t>Terreno</t>
        </is>
      </c>
      <c r="F280" t="inlineStr">
        <is>
          <t>Parque das Laranjeiras · Rua Pioneiro Lívio Olivo</t>
        </is>
      </c>
      <c r="G280" t="n">
        <v>300</v>
      </c>
      <c r="L280" t="n">
        <v>250000</v>
      </c>
      <c r="M280" t="inlineStr">
        <is>
          <t>VivaReal | id:2878506896</t>
        </is>
      </c>
      <c r="N280" t="inlineStr">
        <is>
          <t>Venda</t>
        </is>
      </c>
    </row>
    <row r="281">
      <c r="A281" t="inlineStr">
        <is>
          <t>2026-06-28</t>
        </is>
      </c>
      <c r="B281" t="inlineStr">
        <is>
          <t>vivareal.com.br</t>
        </is>
      </c>
      <c r="C281" t="inlineStr">
        <is>
          <t>VivaReal</t>
        </is>
      </c>
      <c r="E281" t="inlineStr">
        <is>
          <t>Terreno</t>
        </is>
      </c>
      <c r="F281" t="inlineStr">
        <is>
          <t>Jardim Munique · Rua Silvana Aparecida da Rosa Martins</t>
        </is>
      </c>
      <c r="G281" t="n">
        <v>200</v>
      </c>
      <c r="L281" t="n">
        <v>210000</v>
      </c>
      <c r="M281" t="inlineStr">
        <is>
          <t>VivaReal | id:2736624317</t>
        </is>
      </c>
      <c r="N281" t="inlineStr">
        <is>
          <t>Venda</t>
        </is>
      </c>
    </row>
    <row r="282">
      <c r="A282" t="inlineStr">
        <is>
          <t>2026-06-28</t>
        </is>
      </c>
      <c r="B282" t="inlineStr">
        <is>
          <t>vivareal.com.br</t>
        </is>
      </c>
      <c r="C282" t="inlineStr">
        <is>
          <t>VivaReal</t>
        </is>
      </c>
      <c r="E282" t="inlineStr">
        <is>
          <t>Casa</t>
        </is>
      </c>
      <c r="F282" t="inlineStr">
        <is>
          <t>Jardim Três Lagoas · Rua José de Farias Ferraz</t>
        </is>
      </c>
      <c r="G282" t="n">
        <v>85</v>
      </c>
      <c r="H282" t="n">
        <v>3</v>
      </c>
      <c r="K282" t="n">
        <v>2</v>
      </c>
      <c r="L282" t="n">
        <v>430000</v>
      </c>
      <c r="M282" t="inlineStr">
        <is>
          <t>VivaReal | id:2893766874</t>
        </is>
      </c>
      <c r="N282" t="inlineStr">
        <is>
          <t>Venda</t>
        </is>
      </c>
    </row>
    <row r="283">
      <c r="A283" t="inlineStr">
        <is>
          <t>2026-06-28</t>
        </is>
      </c>
      <c r="B283" t="inlineStr">
        <is>
          <t>vivareal.com.br</t>
        </is>
      </c>
      <c r="C283" t="inlineStr">
        <is>
          <t>VivaReal</t>
        </is>
      </c>
      <c r="E283" t="inlineStr">
        <is>
          <t>Terreno</t>
        </is>
      </c>
      <c r="F283" t="inlineStr">
        <is>
          <t>Jardim Alvorada · Rua Ibira</t>
        </is>
      </c>
      <c r="G283" t="n">
        <v>250</v>
      </c>
      <c r="L283" t="n">
        <v>319000</v>
      </c>
      <c r="M283" t="inlineStr">
        <is>
          <t>VivaReal | id:2772697115</t>
        </is>
      </c>
      <c r="N283" t="inlineStr">
        <is>
          <t>Venda</t>
        </is>
      </c>
    </row>
    <row r="284">
      <c r="A284" t="inlineStr">
        <is>
          <t>2026-06-28</t>
        </is>
      </c>
      <c r="B284" t="inlineStr">
        <is>
          <t>vivareal.com.br</t>
        </is>
      </c>
      <c r="C284" t="inlineStr">
        <is>
          <t>VivaReal</t>
        </is>
      </c>
      <c r="E284" t="inlineStr">
        <is>
          <t>Terreno</t>
        </is>
      </c>
      <c r="F284" t="inlineStr">
        <is>
          <t>Conjunto Habitacional Lea Leal · Avenida Guaiapó</t>
        </is>
      </c>
      <c r="G284" t="n">
        <v>420</v>
      </c>
      <c r="L284" t="n">
        <v>570000</v>
      </c>
      <c r="M284" t="inlineStr">
        <is>
          <t>VivaReal | id:2892039682</t>
        </is>
      </c>
      <c r="N284" t="inlineStr">
        <is>
          <t>Venda</t>
        </is>
      </c>
    </row>
    <row r="285">
      <c r="A285" t="inlineStr">
        <is>
          <t>2026-06-28</t>
        </is>
      </c>
      <c r="B285" t="inlineStr">
        <is>
          <t>vivareal.com.br</t>
        </is>
      </c>
      <c r="C285" t="inlineStr">
        <is>
          <t>VivaReal</t>
        </is>
      </c>
      <c r="E285" t="inlineStr">
        <is>
          <t>Terreno</t>
        </is>
      </c>
      <c r="F285" t="inlineStr">
        <is>
          <t>Jardim Tupinambá · Rua 28 de Junho</t>
        </is>
      </c>
      <c r="G285" t="n">
        <v>360</v>
      </c>
      <c r="L285" t="n">
        <v>290000</v>
      </c>
      <c r="M285" t="inlineStr">
        <is>
          <t>VivaReal | id:2843134033</t>
        </is>
      </c>
      <c r="N285" t="inlineStr">
        <is>
          <t>Venda</t>
        </is>
      </c>
    </row>
    <row r="286">
      <c r="A286" t="inlineStr">
        <is>
          <t>2026-06-28</t>
        </is>
      </c>
      <c r="B286" t="inlineStr">
        <is>
          <t>vivareal.com.br</t>
        </is>
      </c>
      <c r="C286" t="inlineStr">
        <is>
          <t>VivaReal</t>
        </is>
      </c>
      <c r="E286" t="inlineStr">
        <is>
          <t>Apartamento</t>
        </is>
      </c>
      <c r="F286" t="inlineStr">
        <is>
          <t>Zona 07 · Rua Marechal Deodoro</t>
        </is>
      </c>
      <c r="G286" t="n">
        <v>140</v>
      </c>
      <c r="H286" t="n">
        <v>3</v>
      </c>
      <c r="K286" t="n">
        <v>3</v>
      </c>
      <c r="L286" t="n">
        <v>1850000</v>
      </c>
      <c r="M286" t="inlineStr">
        <is>
          <t>VivaReal | id:2871912300</t>
        </is>
      </c>
      <c r="N286" t="inlineStr">
        <is>
          <t>Venda</t>
        </is>
      </c>
    </row>
    <row r="287">
      <c r="A287" t="inlineStr">
        <is>
          <t>2026-06-28</t>
        </is>
      </c>
      <c r="B287" t="inlineStr">
        <is>
          <t>vivareal.com.br</t>
        </is>
      </c>
      <c r="C287" t="inlineStr">
        <is>
          <t>VivaReal</t>
        </is>
      </c>
      <c r="E287" t="inlineStr">
        <is>
          <t>Terreno</t>
        </is>
      </c>
      <c r="F287" t="inlineStr">
        <is>
          <t>Jardim Botânico · Rua Pioneiro Geraldo Pinheiro da Fonseca</t>
        </is>
      </c>
      <c r="G287" t="n">
        <v>300</v>
      </c>
      <c r="L287" t="n">
        <v>370000</v>
      </c>
      <c r="M287" t="inlineStr">
        <is>
          <t>VivaReal | id:2894274708</t>
        </is>
      </c>
      <c r="N287" t="inlineStr">
        <is>
          <t>Venda</t>
        </is>
      </c>
    </row>
    <row r="288">
      <c r="A288" t="inlineStr">
        <is>
          <t>2026-06-28</t>
        </is>
      </c>
      <c r="B288" t="inlineStr">
        <is>
          <t>vivareal.com.br</t>
        </is>
      </c>
      <c r="C288" t="inlineStr">
        <is>
          <t>VivaReal</t>
        </is>
      </c>
      <c r="E288" t="inlineStr">
        <is>
          <t>Casa</t>
        </is>
      </c>
      <c r="F288" t="inlineStr">
        <is>
          <t>Jardim Paris · Rua Herculano Ribeiro de Paiva</t>
        </is>
      </c>
      <c r="G288" t="n">
        <v>92</v>
      </c>
      <c r="H288" t="n">
        <v>3</v>
      </c>
      <c r="K288" t="n">
        <v>2</v>
      </c>
      <c r="L288" t="n">
        <v>550000</v>
      </c>
      <c r="M288" t="inlineStr">
        <is>
          <t>VivaReal | id:2839111720</t>
        </is>
      </c>
      <c r="N288" t="inlineStr">
        <is>
          <t>Venda</t>
        </is>
      </c>
    </row>
    <row r="289">
      <c r="A289" t="inlineStr">
        <is>
          <t>2026-06-28</t>
        </is>
      </c>
      <c r="B289" t="inlineStr">
        <is>
          <t>vivareal.com.br</t>
        </is>
      </c>
      <c r="C289" t="inlineStr">
        <is>
          <t>VivaReal</t>
        </is>
      </c>
      <c r="E289" t="inlineStr">
        <is>
          <t>Terreno</t>
        </is>
      </c>
      <c r="F289" t="inlineStr">
        <is>
          <t>Jardim Europa · Avenida Nilso Bertoni</t>
        </is>
      </c>
      <c r="G289" t="n">
        <v>400</v>
      </c>
      <c r="L289" t="n">
        <v>299000</v>
      </c>
      <c r="M289" t="inlineStr">
        <is>
          <t>VivaReal | id:2852203617</t>
        </is>
      </c>
      <c r="N289" t="inlineStr">
        <is>
          <t>Venda</t>
        </is>
      </c>
    </row>
    <row r="290">
      <c r="A290" t="inlineStr">
        <is>
          <t>2026-06-28</t>
        </is>
      </c>
      <c r="B290" t="inlineStr">
        <is>
          <t>vivareal.com.br</t>
        </is>
      </c>
      <c r="C290" t="inlineStr">
        <is>
          <t>VivaReal</t>
        </is>
      </c>
      <c r="E290" t="inlineStr">
        <is>
          <t>Terreno</t>
        </is>
      </c>
      <c r="F290" t="inlineStr">
        <is>
          <t>Jardim Liberdade · Rua Vila Rica</t>
        </is>
      </c>
      <c r="G290" t="n">
        <v>300</v>
      </c>
      <c r="L290" t="n">
        <v>290000</v>
      </c>
      <c r="M290" t="inlineStr">
        <is>
          <t>VivaReal | id:2881171647</t>
        </is>
      </c>
      <c r="N290" t="inlineStr">
        <is>
          <t>Venda</t>
        </is>
      </c>
    </row>
    <row r="291">
      <c r="A291" t="inlineStr">
        <is>
          <t>2026-06-28</t>
        </is>
      </c>
      <c r="B291" t="inlineStr">
        <is>
          <t>vivareal.com.br</t>
        </is>
      </c>
      <c r="C291" t="inlineStr">
        <is>
          <t>VivaReal</t>
        </is>
      </c>
      <c r="E291" t="inlineStr">
        <is>
          <t>Casa</t>
        </is>
      </c>
      <c r="F291" t="inlineStr">
        <is>
          <t>Parque Taruma</t>
        </is>
      </c>
      <c r="G291" t="n">
        <v>85</v>
      </c>
      <c r="H291" t="n">
        <v>3</v>
      </c>
      <c r="L291" t="n">
        <v>450000</v>
      </c>
      <c r="M291" t="inlineStr">
        <is>
          <t>VivaReal | id:2817407613</t>
        </is>
      </c>
      <c r="N291" t="inlineStr">
        <is>
          <t>Venda</t>
        </is>
      </c>
    </row>
    <row r="292">
      <c r="A292" t="inlineStr">
        <is>
          <t>2026-06-28</t>
        </is>
      </c>
      <c r="B292" t="inlineStr">
        <is>
          <t>vivareal.com.br</t>
        </is>
      </c>
      <c r="C292" t="inlineStr">
        <is>
          <t>VivaReal</t>
        </is>
      </c>
      <c r="E292" t="inlineStr">
        <is>
          <t>Casa</t>
        </is>
      </c>
      <c r="F292" t="inlineStr">
        <is>
          <t>Parque Tarumã · Rua Pioneiro João Custódio Pereira</t>
        </is>
      </c>
      <c r="G292" t="n">
        <v>120</v>
      </c>
      <c r="H292" t="n">
        <v>2</v>
      </c>
      <c r="K292" t="n">
        <v>3</v>
      </c>
      <c r="L292" t="n">
        <v>400000</v>
      </c>
      <c r="M292" t="inlineStr">
        <is>
          <t>VivaReal | id:2859317355</t>
        </is>
      </c>
      <c r="N292" t="inlineStr">
        <is>
          <t>Venda</t>
        </is>
      </c>
    </row>
    <row r="293">
      <c r="A293" t="inlineStr">
        <is>
          <t>2026-06-28</t>
        </is>
      </c>
      <c r="B293" t="inlineStr">
        <is>
          <t>vivareal.com.br</t>
        </is>
      </c>
      <c r="C293" t="inlineStr">
        <is>
          <t>VivaReal</t>
        </is>
      </c>
      <c r="E293" t="inlineStr">
        <is>
          <t>Apartamento</t>
        </is>
      </c>
      <c r="F293" t="inlineStr">
        <is>
          <t>Jardim das Estações · Avenida Pioneiro Antonio Ruiz Saldanha</t>
        </is>
      </c>
      <c r="G293" t="n">
        <v>47</v>
      </c>
      <c r="H293" t="n">
        <v>2</v>
      </c>
      <c r="K293" t="n">
        <v>1</v>
      </c>
      <c r="L293" t="n">
        <v>250000</v>
      </c>
      <c r="M293" t="inlineStr">
        <is>
          <t>VivaReal | id:2880277191</t>
        </is>
      </c>
      <c r="N293" t="inlineStr">
        <is>
          <t>Venda</t>
        </is>
      </c>
    </row>
    <row r="294">
      <c r="A294" t="inlineStr">
        <is>
          <t>2026-06-28</t>
        </is>
      </c>
      <c r="B294" t="inlineStr">
        <is>
          <t>vivareal.com.br</t>
        </is>
      </c>
      <c r="C294" t="inlineStr">
        <is>
          <t>VivaReal</t>
        </is>
      </c>
      <c r="E294" t="inlineStr">
        <is>
          <t>Casa</t>
        </is>
      </c>
      <c r="F294" t="inlineStr">
        <is>
          <t>Jardim Novo Oasis</t>
        </is>
      </c>
      <c r="G294" t="n">
        <v>104</v>
      </c>
      <c r="H294" t="n">
        <v>3</v>
      </c>
      <c r="L294" t="n">
        <v>450000</v>
      </c>
      <c r="M294" t="inlineStr">
        <is>
          <t>VivaReal | id:2878648133</t>
        </is>
      </c>
      <c r="N294" t="inlineStr">
        <is>
          <t>Venda</t>
        </is>
      </c>
    </row>
    <row r="295">
      <c r="A295" t="inlineStr">
        <is>
          <t>2026-06-28</t>
        </is>
      </c>
      <c r="B295" t="inlineStr">
        <is>
          <t>vivareal.com.br</t>
        </is>
      </c>
      <c r="C295" t="inlineStr">
        <is>
          <t>VivaReal</t>
        </is>
      </c>
      <c r="E295" t="inlineStr">
        <is>
          <t>Terreno</t>
        </is>
      </c>
      <c r="F295" t="inlineStr">
        <is>
          <t>Residencial Arezzo · Rua Ana Rosa Maria de Jesus Barbosa</t>
        </is>
      </c>
      <c r="G295" t="n">
        <v>307</v>
      </c>
      <c r="L295" t="n">
        <v>282000</v>
      </c>
      <c r="M295" t="inlineStr">
        <is>
          <t>VivaReal | id:2869958397</t>
        </is>
      </c>
      <c r="N295" t="inlineStr">
        <is>
          <t>Venda</t>
        </is>
      </c>
    </row>
    <row r="296">
      <c r="A296" t="inlineStr">
        <is>
          <t>2026-06-28</t>
        </is>
      </c>
      <c r="B296" t="inlineStr">
        <is>
          <t>vivareal.com.br</t>
        </is>
      </c>
      <c r="C296" t="inlineStr">
        <is>
          <t>VivaReal</t>
        </is>
      </c>
      <c r="E296" t="inlineStr">
        <is>
          <t>Terreno</t>
        </is>
      </c>
      <c r="F296" t="inlineStr">
        <is>
          <t>Jardim Monte Sinai · Rua Inezita Barroso</t>
        </is>
      </c>
      <c r="G296" t="n">
        <v>400</v>
      </c>
      <c r="L296" t="n">
        <v>160000</v>
      </c>
      <c r="M296" t="inlineStr">
        <is>
          <t>VivaReal | id:2894657180</t>
        </is>
      </c>
      <c r="N296" t="inlineStr">
        <is>
          <t>Venda</t>
        </is>
      </c>
    </row>
    <row r="297">
      <c r="A297" t="inlineStr">
        <is>
          <t>2026-06-28</t>
        </is>
      </c>
      <c r="B297" t="inlineStr">
        <is>
          <t>vivareal.com.br</t>
        </is>
      </c>
      <c r="C297" t="inlineStr">
        <is>
          <t>VivaReal</t>
        </is>
      </c>
      <c r="E297" t="inlineStr">
        <is>
          <t>Casa</t>
        </is>
      </c>
      <c r="F297" t="inlineStr">
        <is>
          <t>Conjunto Habitacional Sol Nascente · Rua Pioneiro Elias Martins</t>
        </is>
      </c>
      <c r="G297" t="n">
        <v>84</v>
      </c>
      <c r="H297" t="n">
        <v>3</v>
      </c>
      <c r="K297" t="n">
        <v>4</v>
      </c>
      <c r="L297" t="n">
        <v>430000</v>
      </c>
      <c r="M297" t="inlineStr">
        <is>
          <t>VivaReal | id:2872781387</t>
        </is>
      </c>
      <c r="N297" t="inlineStr">
        <is>
          <t>Venda</t>
        </is>
      </c>
    </row>
    <row r="298">
      <c r="A298" t="inlineStr">
        <is>
          <t>2026-06-28</t>
        </is>
      </c>
      <c r="B298" t="inlineStr">
        <is>
          <t>vivareal.com.br</t>
        </is>
      </c>
      <c r="C298" t="inlineStr">
        <is>
          <t>VivaReal</t>
        </is>
      </c>
      <c r="E298" t="inlineStr">
        <is>
          <t>Casa</t>
        </is>
      </c>
      <c r="F298" t="inlineStr">
        <is>
          <t>Jardim Colombo (Distrito São Domingos) · Rua Luíza Catharina Bertechini</t>
        </is>
      </c>
      <c r="G298" t="n">
        <v>110</v>
      </c>
      <c r="H298" t="n">
        <v>3</v>
      </c>
      <c r="K298" t="n">
        <v>1</v>
      </c>
      <c r="L298" t="n">
        <v>380000</v>
      </c>
      <c r="M298" t="inlineStr">
        <is>
          <t>VivaReal | id:2888156390</t>
        </is>
      </c>
      <c r="N298" t="inlineStr">
        <is>
          <t>Venda</t>
        </is>
      </c>
    </row>
    <row r="299">
      <c r="A299" t="inlineStr">
        <is>
          <t>2026-06-28</t>
        </is>
      </c>
      <c r="B299" t="inlineStr">
        <is>
          <t>vivareal.com.br</t>
        </is>
      </c>
      <c r="C299" t="inlineStr">
        <is>
          <t>VivaReal</t>
        </is>
      </c>
      <c r="E299" t="inlineStr">
        <is>
          <t>Casa</t>
        </is>
      </c>
      <c r="F299" t="inlineStr">
        <is>
          <t>Jardim Montreal · Rua Pioneiro Domênico Durso</t>
        </is>
      </c>
      <c r="G299" t="n">
        <v>140</v>
      </c>
      <c r="H299" t="n">
        <v>3</v>
      </c>
      <c r="K299" t="n">
        <v>2</v>
      </c>
      <c r="L299" t="n">
        <v>390000</v>
      </c>
      <c r="M299" t="inlineStr">
        <is>
          <t>VivaReal | id:2883968389</t>
        </is>
      </c>
      <c r="N299" t="inlineStr">
        <is>
          <t>Venda</t>
        </is>
      </c>
    </row>
    <row r="300">
      <c r="A300" t="inlineStr">
        <is>
          <t>2026-06-28</t>
        </is>
      </c>
      <c r="B300" t="inlineStr">
        <is>
          <t>vivareal.com.br</t>
        </is>
      </c>
      <c r="C300" t="inlineStr">
        <is>
          <t>VivaReal</t>
        </is>
      </c>
      <c r="E300" t="inlineStr">
        <is>
          <t>Casa</t>
        </is>
      </c>
      <c r="F300" t="inlineStr">
        <is>
          <t>Jardim Colina Verde</t>
        </is>
      </c>
      <c r="G300" t="n">
        <v>107</v>
      </c>
      <c r="H300" t="n">
        <v>3</v>
      </c>
      <c r="K300" t="n">
        <v>1</v>
      </c>
      <c r="L300" t="n">
        <v>420000</v>
      </c>
      <c r="M300" t="inlineStr">
        <is>
          <t>VivaReal | id:2772227714</t>
        </is>
      </c>
      <c r="N300" t="inlineStr">
        <is>
          <t>Venda</t>
        </is>
      </c>
    </row>
    <row r="301">
      <c r="A301" t="inlineStr">
        <is>
          <t>2026-06-28</t>
        </is>
      </c>
      <c r="B301" t="inlineStr">
        <is>
          <t>vivareal.com.br</t>
        </is>
      </c>
      <c r="C301" t="inlineStr">
        <is>
          <t>VivaReal</t>
        </is>
      </c>
      <c r="E301" t="inlineStr">
        <is>
          <t>Casa</t>
        </is>
      </c>
      <c r="F301" t="inlineStr">
        <is>
          <t>Conjunto João de Barro Porto Seguro II · Rua Pioneira Rosa Montagner Baldo</t>
        </is>
      </c>
      <c r="G301" t="n">
        <v>108</v>
      </c>
      <c r="H301" t="n">
        <v>3</v>
      </c>
      <c r="K301" t="n">
        <v>3</v>
      </c>
      <c r="L301" t="n">
        <v>610000</v>
      </c>
      <c r="M301" t="inlineStr">
        <is>
          <t>VivaReal | id:2886955588</t>
        </is>
      </c>
      <c r="N301" t="inlineStr">
        <is>
          <t>Venda</t>
        </is>
      </c>
    </row>
    <row r="302">
      <c r="A302" t="inlineStr">
        <is>
          <t>2026-06-28</t>
        </is>
      </c>
      <c r="B302" t="inlineStr">
        <is>
          <t>vivareal.com.br</t>
        </is>
      </c>
      <c r="C302" t="inlineStr">
        <is>
          <t>VivaReal</t>
        </is>
      </c>
      <c r="E302" t="inlineStr">
        <is>
          <t>Apartamento</t>
        </is>
      </c>
      <c r="F302" t="inlineStr">
        <is>
          <t>Zona 01 · Rua Santos Dumont</t>
        </is>
      </c>
      <c r="G302" t="n">
        <v>101</v>
      </c>
      <c r="H302" t="n">
        <v>3</v>
      </c>
      <c r="K302" t="n">
        <v>1</v>
      </c>
      <c r="L302" t="n">
        <v>450000</v>
      </c>
      <c r="M302" t="inlineStr">
        <is>
          <t>VivaReal | id:2895348583</t>
        </is>
      </c>
      <c r="N302" t="inlineStr">
        <is>
          <t>Venda</t>
        </is>
      </c>
    </row>
    <row r="303">
      <c r="A303" t="inlineStr">
        <is>
          <t>2026-06-28</t>
        </is>
      </c>
      <c r="B303" t="inlineStr">
        <is>
          <t>vivareal.com.br</t>
        </is>
      </c>
      <c r="C303" t="inlineStr">
        <is>
          <t>VivaReal</t>
        </is>
      </c>
      <c r="E303" t="inlineStr">
        <is>
          <t>Casa</t>
        </is>
      </c>
      <c r="F303" t="inlineStr">
        <is>
          <t>Conjunto Residencial Branca Vieira · Rua Rio Parnaíba</t>
        </is>
      </c>
      <c r="G303" t="n">
        <v>94</v>
      </c>
      <c r="H303" t="n">
        <v>3</v>
      </c>
      <c r="K303" t="n">
        <v>2</v>
      </c>
      <c r="L303" t="n">
        <v>590000</v>
      </c>
      <c r="M303" t="inlineStr">
        <is>
          <t>VivaReal | id:2886955587</t>
        </is>
      </c>
      <c r="N303" t="inlineStr">
        <is>
          <t>Venda</t>
        </is>
      </c>
    </row>
    <row r="304">
      <c r="A304" t="inlineStr">
        <is>
          <t>2026-06-28</t>
        </is>
      </c>
      <c r="B304" t="inlineStr">
        <is>
          <t>vivareal.com.br</t>
        </is>
      </c>
      <c r="C304" t="inlineStr">
        <is>
          <t>VivaReal</t>
        </is>
      </c>
      <c r="E304" t="inlineStr">
        <is>
          <t>Casa</t>
        </is>
      </c>
      <c r="F304" t="inlineStr">
        <is>
          <t>Residencial Ícaro · Rua Honorato Vechi</t>
        </is>
      </c>
      <c r="G304" t="n">
        <v>85</v>
      </c>
      <c r="H304" t="n">
        <v>3</v>
      </c>
      <c r="K304" t="n">
        <v>2</v>
      </c>
      <c r="L304" t="n">
        <v>385000</v>
      </c>
      <c r="M304" t="inlineStr">
        <is>
          <t>VivaReal | id:2869109789</t>
        </is>
      </c>
      <c r="N304" t="inlineStr">
        <is>
          <t>Venda</t>
        </is>
      </c>
    </row>
    <row r="305">
      <c r="A305" t="inlineStr">
        <is>
          <t>2026-06-28</t>
        </is>
      </c>
      <c r="B305" t="inlineStr">
        <is>
          <t>vivareal.com.br</t>
        </is>
      </c>
      <c r="C305" t="inlineStr">
        <is>
          <t>VivaReal</t>
        </is>
      </c>
      <c r="E305" t="inlineStr">
        <is>
          <t>Casa</t>
        </is>
      </c>
      <c r="F305" t="inlineStr">
        <is>
          <t>Jardim Paulista · Rua Pioneiro José Borin</t>
        </is>
      </c>
      <c r="G305" t="n">
        <v>87</v>
      </c>
      <c r="H305" t="n">
        <v>3</v>
      </c>
      <c r="K305" t="n">
        <v>2</v>
      </c>
      <c r="L305" t="n">
        <v>450000</v>
      </c>
      <c r="M305" t="inlineStr">
        <is>
          <t>VivaReal | id:2886955589</t>
        </is>
      </c>
      <c r="N305" t="inlineStr">
        <is>
          <t>Venda</t>
        </is>
      </c>
    </row>
    <row r="306">
      <c r="A306" t="inlineStr">
        <is>
          <t>2026-06-28</t>
        </is>
      </c>
      <c r="B306" t="inlineStr">
        <is>
          <t>vivareal.com.br</t>
        </is>
      </c>
      <c r="C306" t="inlineStr">
        <is>
          <t>VivaReal</t>
        </is>
      </c>
      <c r="E306" t="inlineStr">
        <is>
          <t>Terreno</t>
        </is>
      </c>
      <c r="F306" t="inlineStr">
        <is>
          <t>Jardim Barcelona · Rua Fatmé Said Chamseddine</t>
        </is>
      </c>
      <c r="G306" t="n">
        <v>288</v>
      </c>
      <c r="L306" t="n">
        <v>158980</v>
      </c>
      <c r="M306" t="inlineStr">
        <is>
          <t>VivaReal | id:2884936314</t>
        </is>
      </c>
      <c r="N306" t="inlineStr">
        <is>
          <t>Venda</t>
        </is>
      </c>
    </row>
    <row r="307">
      <c r="A307" t="inlineStr">
        <is>
          <t>2026-06-28</t>
        </is>
      </c>
      <c r="B307" t="inlineStr">
        <is>
          <t>vivareal.com.br</t>
        </is>
      </c>
      <c r="C307" t="inlineStr">
        <is>
          <t>VivaReal</t>
        </is>
      </c>
      <c r="E307" t="inlineStr">
        <is>
          <t>Terreno</t>
        </is>
      </c>
      <c r="F307" t="inlineStr">
        <is>
          <t>Parque Industrial 200 · Estrada Morangueira</t>
        </is>
      </c>
      <c r="G307" t="n">
        <v>6640</v>
      </c>
      <c r="L307" t="n">
        <v>900000</v>
      </c>
      <c r="M307" t="inlineStr">
        <is>
          <t>VivaReal | id:2699973075</t>
        </is>
      </c>
      <c r="N307" t="inlineStr">
        <is>
          <t>Venda</t>
        </is>
      </c>
    </row>
    <row r="308">
      <c r="A308" t="inlineStr">
        <is>
          <t>2026-06-28</t>
        </is>
      </c>
      <c r="B308" t="inlineStr">
        <is>
          <t>vivareal.com.br</t>
        </is>
      </c>
      <c r="C308" t="inlineStr">
        <is>
          <t>VivaReal</t>
        </is>
      </c>
      <c r="E308" t="inlineStr">
        <is>
          <t>Terreno</t>
        </is>
      </c>
      <c r="F308" t="inlineStr">
        <is>
          <t>Zona 01 · Rua Santos Dumont</t>
        </is>
      </c>
      <c r="G308" t="n">
        <v>52</v>
      </c>
      <c r="K308" t="n">
        <v>1</v>
      </c>
      <c r="L308" t="n">
        <v>530000</v>
      </c>
      <c r="M308" t="inlineStr">
        <is>
          <t>VivaReal | id:2892092619</t>
        </is>
      </c>
      <c r="N308" t="inlineStr">
        <is>
          <t>Venda</t>
        </is>
      </c>
    </row>
    <row r="309">
      <c r="A309" t="inlineStr">
        <is>
          <t>2026-06-28</t>
        </is>
      </c>
      <c r="B309" t="inlineStr">
        <is>
          <t>vivareal.com.br</t>
        </is>
      </c>
      <c r="C309" t="inlineStr">
        <is>
          <t>VivaReal</t>
        </is>
      </c>
      <c r="E309" t="inlineStr">
        <is>
          <t>Terreno</t>
        </is>
      </c>
      <c r="F309" t="inlineStr">
        <is>
          <t>Zona 01 · Avenida Getúlio Vargas</t>
        </is>
      </c>
      <c r="G309" t="n">
        <v>44</v>
      </c>
      <c r="H309" t="n">
        <v>2</v>
      </c>
      <c r="L309" t="n">
        <v>145000</v>
      </c>
      <c r="M309" t="inlineStr">
        <is>
          <t>VivaReal | id:2866934591</t>
        </is>
      </c>
      <c r="N309" t="inlineStr">
        <is>
          <t>Venda</t>
        </is>
      </c>
    </row>
    <row r="310">
      <c r="A310" t="inlineStr">
        <is>
          <t>2026-06-28</t>
        </is>
      </c>
      <c r="B310" t="inlineStr">
        <is>
          <t>vivareal.com.br</t>
        </is>
      </c>
      <c r="C310" t="inlineStr">
        <is>
          <t>VivaReal</t>
        </is>
      </c>
      <c r="E310" t="inlineStr">
        <is>
          <t>Terreno</t>
        </is>
      </c>
      <c r="F310" t="inlineStr">
        <is>
          <t>Jardim Império do Sol · Rua Pioneiro José Leal</t>
        </is>
      </c>
      <c r="G310" t="n">
        <v>195</v>
      </c>
      <c r="L310" t="n">
        <v>172000</v>
      </c>
      <c r="M310" t="inlineStr">
        <is>
          <t>VivaReal | id:2884458220</t>
        </is>
      </c>
      <c r="N310" t="inlineStr">
        <is>
          <t>Venda</t>
        </is>
      </c>
    </row>
    <row r="311">
      <c r="A311" t="inlineStr">
        <is>
          <t>2026-06-28</t>
        </is>
      </c>
      <c r="B311" t="inlineStr">
        <is>
          <t>vivareal.com.br</t>
        </is>
      </c>
      <c r="C311" t="inlineStr">
        <is>
          <t>VivaReal</t>
        </is>
      </c>
      <c r="E311" t="inlineStr">
        <is>
          <t>Sala Comercial</t>
        </is>
      </c>
      <c r="F311" t="inlineStr">
        <is>
          <t>Jardim Andrade · Rua Rodolfo Cremm</t>
        </is>
      </c>
      <c r="G311" t="n">
        <v>300</v>
      </c>
      <c r="H311" t="n">
        <v>3</v>
      </c>
      <c r="K311" t="n">
        <v>2</v>
      </c>
      <c r="L311" t="n">
        <v>650000</v>
      </c>
      <c r="M311" t="inlineStr">
        <is>
          <t>VivaReal | id:2825362917</t>
        </is>
      </c>
      <c r="N311" t="inlineStr">
        <is>
          <t>Venda</t>
        </is>
      </c>
    </row>
    <row r="312">
      <c r="A312" t="inlineStr">
        <is>
          <t>2026-06-28</t>
        </is>
      </c>
      <c r="B312" t="inlineStr">
        <is>
          <t>vivareal.com.br</t>
        </is>
      </c>
      <c r="C312" t="inlineStr">
        <is>
          <t>VivaReal</t>
        </is>
      </c>
      <c r="E312" t="inlineStr">
        <is>
          <t>Terreno</t>
        </is>
      </c>
      <c r="F312" t="inlineStr">
        <is>
          <t>Jardim Paraíso · Rua Pioneiro Carlos Bulla</t>
        </is>
      </c>
      <c r="G312" t="n">
        <v>305</v>
      </c>
      <c r="L312" t="n">
        <v>175000</v>
      </c>
      <c r="M312" t="inlineStr">
        <is>
          <t>VivaReal | id:2843135624</t>
        </is>
      </c>
      <c r="N312" t="inlineStr">
        <is>
          <t>Venda</t>
        </is>
      </c>
    </row>
    <row r="313">
      <c r="A313" t="inlineStr">
        <is>
          <t>2026-06-28</t>
        </is>
      </c>
      <c r="B313" t="inlineStr">
        <is>
          <t>vivareal.com.br</t>
        </is>
      </c>
      <c r="C313" t="inlineStr">
        <is>
          <t>VivaReal</t>
        </is>
      </c>
      <c r="E313" t="inlineStr">
        <is>
          <t>Terreno</t>
        </is>
      </c>
      <c r="F313" t="inlineStr">
        <is>
          <t>Jardim Oriental · Rua Pioneiro Pedro Gabriel dos Santos</t>
        </is>
      </c>
      <c r="G313" t="n">
        <v>570</v>
      </c>
      <c r="L313" t="n">
        <v>475000</v>
      </c>
      <c r="M313" t="inlineStr">
        <is>
          <t>VivaReal | id:2893094993</t>
        </is>
      </c>
      <c r="N313" t="inlineStr">
        <is>
          <t>Venda</t>
        </is>
      </c>
    </row>
    <row r="314">
      <c r="A314" t="inlineStr">
        <is>
          <t>2026-06-28</t>
        </is>
      </c>
      <c r="B314" t="inlineStr">
        <is>
          <t>vivareal.com.br</t>
        </is>
      </c>
      <c r="C314" t="inlineStr">
        <is>
          <t>VivaReal</t>
        </is>
      </c>
      <c r="E314" t="inlineStr">
        <is>
          <t>Apartamento</t>
        </is>
      </c>
      <c r="F314" t="inlineStr">
        <is>
          <t>Jardim das Estações · Avenida Pioneiro Antonio Ruiz Saldanha</t>
        </is>
      </c>
      <c r="G314" t="n">
        <v>52</v>
      </c>
      <c r="H314" t="n">
        <v>2</v>
      </c>
      <c r="K314" t="n">
        <v>1</v>
      </c>
      <c r="L314" t="n">
        <v>330000</v>
      </c>
      <c r="M314" t="inlineStr">
        <is>
          <t>VivaReal | id:2872776532</t>
        </is>
      </c>
      <c r="N314" t="inlineStr">
        <is>
          <t>Venda</t>
        </is>
      </c>
    </row>
    <row r="315">
      <c r="A315" t="inlineStr">
        <is>
          <t>2026-06-28</t>
        </is>
      </c>
      <c r="B315" t="inlineStr">
        <is>
          <t>vivareal.com.br</t>
        </is>
      </c>
      <c r="C315" t="inlineStr">
        <is>
          <t>VivaReal</t>
        </is>
      </c>
      <c r="E315" t="inlineStr">
        <is>
          <t>Terreno</t>
        </is>
      </c>
      <c r="F315" t="inlineStr">
        <is>
          <t>Jardim Aclimação · Rua José Moreno Júnior</t>
        </is>
      </c>
      <c r="G315" t="n">
        <v>420</v>
      </c>
      <c r="L315" t="n">
        <v>1050000</v>
      </c>
      <c r="M315" t="inlineStr">
        <is>
          <t>VivaReal | id:2872781303</t>
        </is>
      </c>
      <c r="N315" t="inlineStr">
        <is>
          <t>Venda</t>
        </is>
      </c>
    </row>
    <row r="316">
      <c r="A316" t="inlineStr">
        <is>
          <t>2026-06-28</t>
        </is>
      </c>
      <c r="B316" t="inlineStr">
        <is>
          <t>vivareal.com.br</t>
        </is>
      </c>
      <c r="C316" t="inlineStr">
        <is>
          <t>VivaReal</t>
        </is>
      </c>
      <c r="E316" t="inlineStr">
        <is>
          <t>Terreno</t>
        </is>
      </c>
      <c r="F316" t="inlineStr">
        <is>
          <t>Jardim Paraíso · Rua Pioneiro Carlos Bulla</t>
        </is>
      </c>
      <c r="G316" t="n">
        <v>625</v>
      </c>
      <c r="L316" t="n">
        <v>937500</v>
      </c>
      <c r="M316" t="inlineStr">
        <is>
          <t>VivaReal | id:2840147860</t>
        </is>
      </c>
      <c r="N316" t="inlineStr">
        <is>
          <t>Venda</t>
        </is>
      </c>
    </row>
    <row r="317">
      <c r="A317" t="inlineStr">
        <is>
          <t>2026-06-28</t>
        </is>
      </c>
      <c r="B317" t="inlineStr">
        <is>
          <t>vivareal.com.br</t>
        </is>
      </c>
      <c r="C317" t="inlineStr">
        <is>
          <t>VivaReal</t>
        </is>
      </c>
      <c r="E317" t="inlineStr">
        <is>
          <t>Terreno</t>
        </is>
      </c>
      <c r="F317" t="inlineStr">
        <is>
          <t>Jardim São Silvestre · Rua Rosa Donata Diniz</t>
        </is>
      </c>
      <c r="G317" t="n">
        <v>300</v>
      </c>
      <c r="L317" t="n">
        <v>190000</v>
      </c>
      <c r="M317" t="inlineStr">
        <is>
          <t>VivaReal | id:2756132457</t>
        </is>
      </c>
      <c r="N317" t="inlineStr">
        <is>
          <t>Venda</t>
        </is>
      </c>
    </row>
    <row r="318">
      <c r="A318" t="inlineStr">
        <is>
          <t>2026-06-28</t>
        </is>
      </c>
      <c r="B318" t="inlineStr">
        <is>
          <t>vivareal.com.br</t>
        </is>
      </c>
      <c r="C318" t="inlineStr">
        <is>
          <t>VivaReal</t>
        </is>
      </c>
      <c r="E318" t="inlineStr">
        <is>
          <t>Casa</t>
        </is>
      </c>
      <c r="F318" t="inlineStr">
        <is>
          <t>Conjunto João de Barro Porto Seguro II · Rua Antônio Miles</t>
        </is>
      </c>
      <c r="G318" t="n">
        <v>120</v>
      </c>
      <c r="H318" t="n">
        <v>3</v>
      </c>
      <c r="K318" t="n">
        <v>3</v>
      </c>
      <c r="L318" t="n">
        <v>424000</v>
      </c>
      <c r="M318" t="inlineStr">
        <is>
          <t>VivaReal | id:2888058875</t>
        </is>
      </c>
      <c r="N318" t="inlineStr">
        <is>
          <t>Venda</t>
        </is>
      </c>
    </row>
    <row r="319">
      <c r="A319" t="inlineStr">
        <is>
          <t>2026-06-28</t>
        </is>
      </c>
      <c r="B319" t="inlineStr">
        <is>
          <t>vivareal.com.br</t>
        </is>
      </c>
      <c r="C319" t="inlineStr">
        <is>
          <t>VivaReal</t>
        </is>
      </c>
      <c r="E319" t="inlineStr">
        <is>
          <t>Apartamento</t>
        </is>
      </c>
      <c r="F319" t="inlineStr">
        <is>
          <t>Loteamento Sumaré · Rua Pioneiro Genir Galli</t>
        </is>
      </c>
      <c r="G319" t="n">
        <v>57</v>
      </c>
      <c r="H319" t="n">
        <v>3</v>
      </c>
      <c r="K319" t="n">
        <v>1</v>
      </c>
      <c r="L319" t="n">
        <v>299000</v>
      </c>
      <c r="M319" t="inlineStr">
        <is>
          <t>VivaReal | id:2878592776</t>
        </is>
      </c>
      <c r="N319" t="inlineStr">
        <is>
          <t>Venda</t>
        </is>
      </c>
    </row>
    <row r="320">
      <c r="A320" t="inlineStr">
        <is>
          <t>2026-06-28</t>
        </is>
      </c>
      <c r="B320" t="inlineStr">
        <is>
          <t>vivareal.com.br</t>
        </is>
      </c>
      <c r="C320" t="inlineStr">
        <is>
          <t>VivaReal</t>
        </is>
      </c>
      <c r="E320" t="inlineStr">
        <is>
          <t>Casa</t>
        </is>
      </c>
      <c r="F320" t="inlineStr">
        <is>
          <t>Jardim Monte Rei · Rua Vereador José Mário Hauari</t>
        </is>
      </c>
      <c r="G320" t="n">
        <v>100</v>
      </c>
      <c r="H320" t="n">
        <v>3</v>
      </c>
      <c r="K320" t="n">
        <v>2</v>
      </c>
      <c r="L320" t="n">
        <v>449000</v>
      </c>
      <c r="M320" t="inlineStr">
        <is>
          <t>VivaReal | id:2886633305</t>
        </is>
      </c>
      <c r="N320" t="inlineStr">
        <is>
          <t>Venda</t>
        </is>
      </c>
    </row>
    <row r="321">
      <c r="A321" t="inlineStr">
        <is>
          <t>2026-06-28</t>
        </is>
      </c>
      <c r="B321" t="inlineStr">
        <is>
          <t>vivareal.com.br</t>
        </is>
      </c>
      <c r="C321" t="inlineStr">
        <is>
          <t>VivaReal</t>
        </is>
      </c>
      <c r="E321" t="inlineStr">
        <is>
          <t>Terreno</t>
        </is>
      </c>
      <c r="F321" t="inlineStr">
        <is>
          <t>Jardim Paulista IV · Rua Marianna Spinelli Tait</t>
        </is>
      </c>
      <c r="G321" t="n">
        <v>563</v>
      </c>
      <c r="L321" t="n">
        <v>280000</v>
      </c>
      <c r="M321" t="inlineStr">
        <is>
          <t>VivaReal | id:2872781299</t>
        </is>
      </c>
      <c r="N321" t="inlineStr">
        <is>
          <t>Venda</t>
        </is>
      </c>
    </row>
    <row r="322">
      <c r="A322" t="inlineStr">
        <is>
          <t>2026-06-28</t>
        </is>
      </c>
      <c r="B322" t="inlineStr">
        <is>
          <t>vivareal.com.br</t>
        </is>
      </c>
      <c r="C322" t="inlineStr">
        <is>
          <t>VivaReal</t>
        </is>
      </c>
      <c r="E322" t="inlineStr">
        <is>
          <t>Apartamento</t>
        </is>
      </c>
      <c r="F322" t="inlineStr">
        <is>
          <t>Jardim Alvorada · Rua Pioneiro Alfredo José da Costa</t>
        </is>
      </c>
      <c r="G322" t="n">
        <v>51</v>
      </c>
      <c r="H322" t="n">
        <v>2</v>
      </c>
      <c r="K322" t="n">
        <v>1</v>
      </c>
      <c r="L322" t="n">
        <v>280000</v>
      </c>
      <c r="M322" t="inlineStr">
        <is>
          <t>VivaReal | id:2887893479</t>
        </is>
      </c>
      <c r="N322" t="inlineStr">
        <is>
          <t>Venda</t>
        </is>
      </c>
    </row>
    <row r="323">
      <c r="A323" t="inlineStr">
        <is>
          <t>2026-06-28</t>
        </is>
      </c>
      <c r="B323" t="inlineStr">
        <is>
          <t>vivareal.com.br</t>
        </is>
      </c>
      <c r="C323" t="inlineStr">
        <is>
          <t>VivaReal</t>
        </is>
      </c>
      <c r="E323" t="inlineStr">
        <is>
          <t>Casa</t>
        </is>
      </c>
      <c r="F323" t="inlineStr">
        <is>
          <t>Parque Hortência · Rua Professor Antônio Primo Milani</t>
        </is>
      </c>
      <c r="G323" t="n">
        <v>90</v>
      </c>
      <c r="H323" t="n">
        <v>3</v>
      </c>
      <c r="K323" t="n">
        <v>1</v>
      </c>
      <c r="L323" t="n">
        <v>390000</v>
      </c>
      <c r="M323" t="inlineStr">
        <is>
          <t>VivaReal | id:2872776352</t>
        </is>
      </c>
      <c r="N323" t="inlineStr">
        <is>
          <t>Venda</t>
        </is>
      </c>
    </row>
    <row r="324">
      <c r="A324" t="inlineStr">
        <is>
          <t>2026-06-28</t>
        </is>
      </c>
      <c r="B324" t="inlineStr">
        <is>
          <t>vivareal.com.br</t>
        </is>
      </c>
      <c r="C324" t="inlineStr">
        <is>
          <t>VivaReal</t>
        </is>
      </c>
      <c r="E324" t="inlineStr">
        <is>
          <t>Terreno</t>
        </is>
      </c>
      <c r="F324" t="inlineStr">
        <is>
          <t>Conjunto João de Barro Cidade Canção · Rua Severo de Faria Franco</t>
        </is>
      </c>
      <c r="G324" t="n">
        <v>390</v>
      </c>
      <c r="L324" t="n">
        <v>750000</v>
      </c>
      <c r="M324" t="inlineStr">
        <is>
          <t>VivaReal | id:2886955173</t>
        </is>
      </c>
      <c r="N324" t="inlineStr">
        <is>
          <t>Venda</t>
        </is>
      </c>
    </row>
    <row r="325">
      <c r="A325" t="inlineStr">
        <is>
          <t>2026-06-28</t>
        </is>
      </c>
      <c r="B325" t="inlineStr">
        <is>
          <t>vivareal.com.br</t>
        </is>
      </c>
      <c r="C325" t="inlineStr">
        <is>
          <t>VivaReal</t>
        </is>
      </c>
      <c r="E325" t="inlineStr">
        <is>
          <t>Casa</t>
        </is>
      </c>
      <c r="F325" t="inlineStr">
        <is>
          <t>Parque das Laranjeiras · Rua Paim</t>
        </is>
      </c>
      <c r="G325" t="n">
        <v>179</v>
      </c>
      <c r="H325" t="n">
        <v>4</v>
      </c>
      <c r="K325" t="n">
        <v>3</v>
      </c>
      <c r="L325" t="n">
        <v>450000</v>
      </c>
      <c r="M325" t="inlineStr">
        <is>
          <t>VivaReal | id:2887599094</t>
        </is>
      </c>
      <c r="N325" t="inlineStr">
        <is>
          <t>Venda</t>
        </is>
      </c>
    </row>
    <row r="326">
      <c r="A326" t="inlineStr">
        <is>
          <t>2026-06-28</t>
        </is>
      </c>
      <c r="B326" t="inlineStr">
        <is>
          <t>vivareal.com.br</t>
        </is>
      </c>
      <c r="C326" t="inlineStr">
        <is>
          <t>VivaReal</t>
        </is>
      </c>
      <c r="E326" t="inlineStr">
        <is>
          <t>Casa</t>
        </is>
      </c>
      <c r="F326" t="inlineStr">
        <is>
          <t>Jardim Olimpico</t>
        </is>
      </c>
      <c r="G326" t="n">
        <v>80</v>
      </c>
      <c r="H326" t="n">
        <v>3</v>
      </c>
      <c r="L326" t="n">
        <v>430000</v>
      </c>
      <c r="M326" t="inlineStr">
        <is>
          <t>VivaReal | id:2888203907</t>
        </is>
      </c>
      <c r="N326" t="inlineStr">
        <is>
          <t>Venda</t>
        </is>
      </c>
    </row>
    <row r="327">
      <c r="A327" t="inlineStr">
        <is>
          <t>2026-06-28</t>
        </is>
      </c>
      <c r="B327" t="inlineStr">
        <is>
          <t>vivareal.com.br</t>
        </is>
      </c>
      <c r="C327" t="inlineStr">
        <is>
          <t>VivaReal</t>
        </is>
      </c>
      <c r="E327" t="inlineStr">
        <is>
          <t>Casa</t>
        </is>
      </c>
      <c r="F327" t="inlineStr">
        <is>
          <t>Jardim Brasil · Rua Pioneiro Múcio Rodrigues</t>
        </is>
      </c>
      <c r="G327" t="n">
        <v>121</v>
      </c>
      <c r="H327" t="n">
        <v>2</v>
      </c>
      <c r="K327" t="n">
        <v>3</v>
      </c>
      <c r="L327" t="n">
        <v>490000</v>
      </c>
      <c r="M327" t="inlineStr">
        <is>
          <t>VivaReal | id:2878479274</t>
        </is>
      </c>
      <c r="N327" t="inlineStr">
        <is>
          <t>Venda</t>
        </is>
      </c>
    </row>
    <row r="328">
      <c r="A328" t="inlineStr">
        <is>
          <t>2026-06-28</t>
        </is>
      </c>
      <c r="B328" t="inlineStr">
        <is>
          <t>vivareal.com.br</t>
        </is>
      </c>
      <c r="C328" t="inlineStr">
        <is>
          <t>VivaReal</t>
        </is>
      </c>
      <c r="E328" t="inlineStr">
        <is>
          <t>Casa</t>
        </is>
      </c>
      <c r="F328" t="inlineStr">
        <is>
          <t>Jardim Colina Verde · Rua Angelina Tedesca</t>
        </is>
      </c>
      <c r="G328" t="n">
        <v>130</v>
      </c>
      <c r="H328" t="n">
        <v>3</v>
      </c>
      <c r="K328" t="n">
        <v>3</v>
      </c>
      <c r="L328" t="n">
        <v>450000</v>
      </c>
      <c r="M328" t="inlineStr">
        <is>
          <t>VivaReal | id:2880000937</t>
        </is>
      </c>
      <c r="N328" t="inlineStr">
        <is>
          <t>Venda</t>
        </is>
      </c>
    </row>
    <row r="329">
      <c r="A329" t="inlineStr">
        <is>
          <t>2026-06-28</t>
        </is>
      </c>
      <c r="B329" t="inlineStr">
        <is>
          <t>vivareal.com.br</t>
        </is>
      </c>
      <c r="C329" t="inlineStr">
        <is>
          <t>VivaReal</t>
        </is>
      </c>
      <c r="E329" t="inlineStr">
        <is>
          <t>Casa</t>
        </is>
      </c>
      <c r="F329" t="inlineStr">
        <is>
          <t>Jardim Paraíso · Rua Pioneiro Cezare Mochi</t>
        </is>
      </c>
      <c r="G329" t="n">
        <v>130</v>
      </c>
      <c r="H329" t="n">
        <v>3</v>
      </c>
      <c r="K329" t="n">
        <v>2</v>
      </c>
      <c r="L329" t="n">
        <v>689000</v>
      </c>
      <c r="M329" t="inlineStr">
        <is>
          <t>VivaReal | id:2881304977</t>
        </is>
      </c>
      <c r="N329" t="inlineStr">
        <is>
          <t>Venda</t>
        </is>
      </c>
    </row>
    <row r="330">
      <c r="A330" t="inlineStr">
        <is>
          <t>2026-06-28</t>
        </is>
      </c>
      <c r="B330" t="inlineStr">
        <is>
          <t>vivareal.com.br</t>
        </is>
      </c>
      <c r="C330" t="inlineStr">
        <is>
          <t>VivaReal</t>
        </is>
      </c>
      <c r="E330" t="inlineStr">
        <is>
          <t>Casa</t>
        </is>
      </c>
      <c r="F330" t="inlineStr">
        <is>
          <t>Conjunto Habitacional Inocente Vila Nova Júnior · Rua dos Alecrins</t>
        </is>
      </c>
      <c r="G330" t="n">
        <v>134</v>
      </c>
      <c r="H330" t="n">
        <v>2</v>
      </c>
      <c r="K330" t="n">
        <v>3</v>
      </c>
      <c r="L330" t="n">
        <v>360000</v>
      </c>
      <c r="M330" t="inlineStr">
        <is>
          <t>VivaReal | id:2872778796</t>
        </is>
      </c>
      <c r="N330" t="inlineStr">
        <is>
          <t>Venda</t>
        </is>
      </c>
    </row>
    <row r="331">
      <c r="A331" t="inlineStr">
        <is>
          <t>2026-06-28</t>
        </is>
      </c>
      <c r="B331" t="inlineStr">
        <is>
          <t>vivareal.com.br</t>
        </is>
      </c>
      <c r="C331" t="inlineStr">
        <is>
          <t>VivaReal</t>
        </is>
      </c>
      <c r="E331" t="inlineStr">
        <is>
          <t>Terreno</t>
        </is>
      </c>
      <c r="F331" t="inlineStr">
        <is>
          <t>Jardim Oásis · Avenida Dona Sophia Rasgulaeff</t>
        </is>
      </c>
      <c r="G331" t="n">
        <v>410</v>
      </c>
      <c r="L331" t="n">
        <v>580825</v>
      </c>
      <c r="M331" t="inlineStr">
        <is>
          <t>VivaReal | id:2718699441</t>
        </is>
      </c>
      <c r="N331" t="inlineStr">
        <is>
          <t>Venda</t>
        </is>
      </c>
    </row>
    <row r="332">
      <c r="A332" t="inlineStr">
        <is>
          <t>2026-06-28</t>
        </is>
      </c>
      <c r="B332" t="inlineStr">
        <is>
          <t>vivareal.com.br</t>
        </is>
      </c>
      <c r="C332" t="inlineStr">
        <is>
          <t>VivaReal</t>
        </is>
      </c>
      <c r="E332" t="inlineStr">
        <is>
          <t>Terreno</t>
        </is>
      </c>
      <c r="F332" t="inlineStr">
        <is>
          <t>Residencial Pimenta</t>
        </is>
      </c>
      <c r="G332" t="n">
        <v>494</v>
      </c>
      <c r="L332" t="n">
        <v>370000</v>
      </c>
      <c r="M332" t="inlineStr">
        <is>
          <t>VivaReal | id:2888208489</t>
        </is>
      </c>
      <c r="N332" t="inlineStr">
        <is>
          <t>Venda</t>
        </is>
      </c>
    </row>
    <row r="333">
      <c r="A333" t="inlineStr">
        <is>
          <t>2026-06-28</t>
        </is>
      </c>
      <c r="B333" t="inlineStr">
        <is>
          <t>vivareal.com.br</t>
        </is>
      </c>
      <c r="C333" t="inlineStr">
        <is>
          <t>VivaReal</t>
        </is>
      </c>
      <c r="E333" t="inlineStr">
        <is>
          <t>Terreno</t>
        </is>
      </c>
      <c r="F333" t="inlineStr">
        <is>
          <t>Jardins de Monet Residence · Estrada Romeirinha</t>
        </is>
      </c>
      <c r="G333" t="n">
        <v>792</v>
      </c>
      <c r="L333" t="n">
        <v>832500</v>
      </c>
      <c r="M333" t="inlineStr">
        <is>
          <t>VivaReal | id:2871912299</t>
        </is>
      </c>
      <c r="N333" t="inlineStr">
        <is>
          <t>Venda</t>
        </is>
      </c>
    </row>
    <row r="334">
      <c r="A334" t="inlineStr">
        <is>
          <t>2026-06-28</t>
        </is>
      </c>
      <c r="B334" t="inlineStr">
        <is>
          <t>vivareal.com.br</t>
        </is>
      </c>
      <c r="C334" t="inlineStr">
        <is>
          <t>VivaReal</t>
        </is>
      </c>
      <c r="E334" t="inlineStr">
        <is>
          <t>Apartamento</t>
        </is>
      </c>
      <c r="F334" t="inlineStr">
        <is>
          <t>Jardim Hanover · Avenida Pioneiro Antonio Ruiz Saldanha</t>
        </is>
      </c>
      <c r="G334" t="n">
        <v>36</v>
      </c>
      <c r="H334" t="n">
        <v>2</v>
      </c>
      <c r="K334" t="n">
        <v>1</v>
      </c>
      <c r="L334" t="n">
        <v>288000</v>
      </c>
      <c r="M334" t="inlineStr">
        <is>
          <t>VivaReal | id:2866251453</t>
        </is>
      </c>
      <c r="N334" t="inlineStr">
        <is>
          <t>Venda</t>
        </is>
      </c>
    </row>
    <row r="335">
      <c r="A335" t="inlineStr">
        <is>
          <t>2026-06-28</t>
        </is>
      </c>
      <c r="B335" t="inlineStr">
        <is>
          <t>vivareal.com.br</t>
        </is>
      </c>
      <c r="C335" t="inlineStr">
        <is>
          <t>VivaReal</t>
        </is>
      </c>
      <c r="E335" t="inlineStr">
        <is>
          <t>Casa</t>
        </is>
      </c>
      <c r="F335" t="inlineStr">
        <is>
          <t>Jardim Colina Verde II · Rua Pioneira Leonarda Garcia Coelho</t>
        </is>
      </c>
      <c r="G335" t="n">
        <v>85</v>
      </c>
      <c r="H335" t="n">
        <v>3</v>
      </c>
      <c r="L335" t="n">
        <v>450000</v>
      </c>
      <c r="M335" t="inlineStr">
        <is>
          <t>VivaReal | id:2890612874</t>
        </is>
      </c>
      <c r="N335" t="inlineStr">
        <is>
          <t>Venda</t>
        </is>
      </c>
    </row>
    <row r="336">
      <c r="A336" t="inlineStr">
        <is>
          <t>2026-06-28</t>
        </is>
      </c>
      <c r="B336" t="inlineStr">
        <is>
          <t>vivareal.com.br</t>
        </is>
      </c>
      <c r="C336" t="inlineStr">
        <is>
          <t>VivaReal</t>
        </is>
      </c>
      <c r="E336" t="inlineStr">
        <is>
          <t>Casa</t>
        </is>
      </c>
      <c r="F336" t="inlineStr">
        <is>
          <t>Jardim Olimpico</t>
        </is>
      </c>
      <c r="G336" t="n">
        <v>99</v>
      </c>
      <c r="H336" t="n">
        <v>2</v>
      </c>
      <c r="L336" t="n">
        <v>510000</v>
      </c>
      <c r="M336" t="inlineStr">
        <is>
          <t>VivaReal | id:2889162991</t>
        </is>
      </c>
      <c r="N336" t="inlineStr">
        <is>
          <t>Venda</t>
        </is>
      </c>
    </row>
    <row r="337">
      <c r="A337" t="inlineStr">
        <is>
          <t>2026-06-28</t>
        </is>
      </c>
      <c r="B337" t="inlineStr">
        <is>
          <t>vivareal.com.br</t>
        </is>
      </c>
      <c r="C337" t="inlineStr">
        <is>
          <t>VivaReal</t>
        </is>
      </c>
      <c r="E337" t="inlineStr">
        <is>
          <t>Casa</t>
        </is>
      </c>
      <c r="F337" t="inlineStr">
        <is>
          <t>Conjunto Residencial Rodolpho Bernardi · Rua Pioneiro Guarino Augusto Basseto</t>
        </is>
      </c>
      <c r="G337" t="n">
        <v>165</v>
      </c>
      <c r="H337" t="n">
        <v>3</v>
      </c>
      <c r="K337" t="n">
        <v>2</v>
      </c>
      <c r="L337" t="n">
        <v>430000</v>
      </c>
      <c r="M337" t="inlineStr">
        <is>
          <t>VivaReal | id:2886951616</t>
        </is>
      </c>
      <c r="N337" t="inlineStr">
        <is>
          <t>Venda</t>
        </is>
      </c>
    </row>
    <row r="338">
      <c r="A338" t="inlineStr">
        <is>
          <t>2026-06-28</t>
        </is>
      </c>
      <c r="B338" t="inlineStr">
        <is>
          <t>vivareal.com.br</t>
        </is>
      </c>
      <c r="C338" t="inlineStr">
        <is>
          <t>VivaReal</t>
        </is>
      </c>
      <c r="E338" t="inlineStr">
        <is>
          <t>Casa</t>
        </is>
      </c>
      <c r="F338" t="inlineStr">
        <is>
          <t>Cj Res. Parigot de Souza · Rua Vitório Sambatti</t>
        </is>
      </c>
      <c r="G338" t="n">
        <v>105</v>
      </c>
      <c r="H338" t="n">
        <v>3</v>
      </c>
      <c r="K338" t="n">
        <v>2</v>
      </c>
      <c r="L338" t="n">
        <v>570000</v>
      </c>
      <c r="M338" t="inlineStr">
        <is>
          <t>VivaReal | id:2867921380</t>
        </is>
      </c>
      <c r="N338" t="inlineStr">
        <is>
          <t>Venda</t>
        </is>
      </c>
    </row>
    <row r="339">
      <c r="A339" t="inlineStr">
        <is>
          <t>2026-06-28</t>
        </is>
      </c>
      <c r="B339" t="inlineStr">
        <is>
          <t>vivareal.com.br</t>
        </is>
      </c>
      <c r="C339" t="inlineStr">
        <is>
          <t>VivaReal</t>
        </is>
      </c>
      <c r="E339" t="inlineStr">
        <is>
          <t>Terreno</t>
        </is>
      </c>
      <c r="F339" t="inlineStr">
        <is>
          <t>Jardim Brasil · Rua Ametista</t>
        </is>
      </c>
      <c r="G339" t="n">
        <v>300</v>
      </c>
      <c r="L339" t="n">
        <v>420000</v>
      </c>
      <c r="M339" t="inlineStr">
        <is>
          <t>VivaReal | id:2714903975</t>
        </is>
      </c>
      <c r="N339" t="inlineStr">
        <is>
          <t>Venda</t>
        </is>
      </c>
    </row>
    <row r="340">
      <c r="A340" t="inlineStr">
        <is>
          <t>2026-06-28</t>
        </is>
      </c>
      <c r="B340" t="inlineStr">
        <is>
          <t>vivareal.com.br</t>
        </is>
      </c>
      <c r="C340" t="inlineStr">
        <is>
          <t>VivaReal</t>
        </is>
      </c>
      <c r="E340" t="inlineStr">
        <is>
          <t>Terreno</t>
        </is>
      </c>
      <c r="F340" t="inlineStr">
        <is>
          <t>Jardim Olímpico · Rua Azulão</t>
        </is>
      </c>
      <c r="G340" t="n">
        <v>324</v>
      </c>
      <c r="L340" t="n">
        <v>220000</v>
      </c>
      <c r="M340" t="inlineStr">
        <is>
          <t>VivaReal | id:2893838602</t>
        </is>
      </c>
      <c r="N340" t="inlineStr">
        <is>
          <t>Venda</t>
        </is>
      </c>
    </row>
    <row r="341">
      <c r="A341" t="inlineStr">
        <is>
          <t>2026-06-28</t>
        </is>
      </c>
      <c r="B341" t="inlineStr">
        <is>
          <t>vivareal.com.br</t>
        </is>
      </c>
      <c r="C341" t="inlineStr">
        <is>
          <t>VivaReal</t>
        </is>
      </c>
      <c r="E341" t="inlineStr">
        <is>
          <t>Casa</t>
        </is>
      </c>
      <c r="F341" t="inlineStr">
        <is>
          <t>Jardim Oásis · Rua Rio Sena</t>
        </is>
      </c>
      <c r="G341" t="n">
        <v>100</v>
      </c>
      <c r="H341" t="n">
        <v>3</v>
      </c>
      <c r="K341" t="n">
        <v>2</v>
      </c>
      <c r="L341" t="n">
        <v>385000</v>
      </c>
      <c r="M341" t="inlineStr">
        <is>
          <t>VivaReal | id:2716354103</t>
        </is>
      </c>
      <c r="N341" t="inlineStr">
        <is>
          <t>Venda</t>
        </is>
      </c>
    </row>
    <row r="342">
      <c r="A342" t="inlineStr">
        <is>
          <t>2026-06-28</t>
        </is>
      </c>
      <c r="B342" t="inlineStr">
        <is>
          <t>vivareal.com.br</t>
        </is>
      </c>
      <c r="C342" t="inlineStr">
        <is>
          <t>VivaReal</t>
        </is>
      </c>
      <c r="E342" t="inlineStr">
        <is>
          <t>Apartamento</t>
        </is>
      </c>
      <c r="F342" t="inlineStr">
        <is>
          <t>Zona 07 · Rua Benjamin Constant</t>
        </is>
      </c>
      <c r="G342" t="n">
        <v>73</v>
      </c>
      <c r="H342" t="n">
        <v>3</v>
      </c>
      <c r="K342" t="n">
        <v>2</v>
      </c>
      <c r="L342" t="n">
        <v>795000</v>
      </c>
      <c r="M342" t="inlineStr">
        <is>
          <t>VivaReal | id:2891643397</t>
        </is>
      </c>
      <c r="N342" t="inlineStr">
        <is>
          <t>Venda</t>
        </is>
      </c>
    </row>
    <row r="343">
      <c r="A343" t="inlineStr">
        <is>
          <t>2026-06-28</t>
        </is>
      </c>
      <c r="B343" t="inlineStr">
        <is>
          <t>vivareal.com.br</t>
        </is>
      </c>
      <c r="C343" t="inlineStr">
        <is>
          <t>VivaReal</t>
        </is>
      </c>
      <c r="E343" t="inlineStr">
        <is>
          <t>Terreno</t>
        </is>
      </c>
      <c r="F343" t="inlineStr">
        <is>
          <t>Jardim Oriental · Rua Pioneiro David Rodrigues Ferreira</t>
        </is>
      </c>
      <c r="G343" t="n">
        <v>400</v>
      </c>
      <c r="L343" t="n">
        <v>365000</v>
      </c>
      <c r="M343" t="inlineStr">
        <is>
          <t>VivaReal | id:2821105022</t>
        </is>
      </c>
      <c r="N343" t="inlineStr">
        <is>
          <t>Venda</t>
        </is>
      </c>
    </row>
    <row r="344">
      <c r="A344" t="inlineStr">
        <is>
          <t>2026-06-28</t>
        </is>
      </c>
      <c r="B344" t="inlineStr">
        <is>
          <t>vivareal.com.br</t>
        </is>
      </c>
      <c r="C344" t="inlineStr">
        <is>
          <t>VivaReal</t>
        </is>
      </c>
      <c r="E344" t="inlineStr">
        <is>
          <t>Casa</t>
        </is>
      </c>
      <c r="F344" t="inlineStr">
        <is>
          <t>Jardim Piatã · Rua Pioneira Guilhermina Mazolini</t>
        </is>
      </c>
      <c r="G344" t="n">
        <v>69</v>
      </c>
      <c r="H344" t="n">
        <v>3</v>
      </c>
      <c r="L344" t="n">
        <v>359000</v>
      </c>
      <c r="M344" t="inlineStr">
        <is>
          <t>VivaReal | id:2879493630</t>
        </is>
      </c>
      <c r="N344" t="inlineStr">
        <is>
          <t>Venda</t>
        </is>
      </c>
    </row>
    <row r="345">
      <c r="A345" t="inlineStr">
        <is>
          <t>2026-06-28</t>
        </is>
      </c>
      <c r="B345" t="inlineStr">
        <is>
          <t>vivareal.com.br</t>
        </is>
      </c>
      <c r="C345" t="inlineStr">
        <is>
          <t>VivaReal</t>
        </is>
      </c>
      <c r="E345" t="inlineStr">
        <is>
          <t>Casa</t>
        </is>
      </c>
      <c r="F345" t="inlineStr">
        <is>
          <t>Jardim Universo · Rua Joaquim Mendonça</t>
        </is>
      </c>
      <c r="G345" t="n">
        <v>105</v>
      </c>
      <c r="H345" t="n">
        <v>3</v>
      </c>
      <c r="K345" t="n">
        <v>3</v>
      </c>
      <c r="L345" t="n">
        <v>600000</v>
      </c>
      <c r="M345" t="inlineStr">
        <is>
          <t>VivaReal | id:2881247295</t>
        </is>
      </c>
      <c r="N345" t="inlineStr">
        <is>
          <t>Venda</t>
        </is>
      </c>
    </row>
    <row r="346">
      <c r="A346" t="inlineStr">
        <is>
          <t>2026-06-28</t>
        </is>
      </c>
      <c r="B346" t="inlineStr">
        <is>
          <t>vivareal.com.br</t>
        </is>
      </c>
      <c r="C346" t="inlineStr">
        <is>
          <t>VivaReal</t>
        </is>
      </c>
      <c r="E346" t="inlineStr">
        <is>
          <t>Terreno</t>
        </is>
      </c>
      <c r="F346" t="inlineStr">
        <is>
          <t>Zona 06 · Rua Antônio Octávio Scramim</t>
        </is>
      </c>
      <c r="G346" t="n">
        <v>506</v>
      </c>
      <c r="L346" t="n">
        <v>495000</v>
      </c>
      <c r="M346" t="inlineStr">
        <is>
          <t>VivaReal | id:2825738724</t>
        </is>
      </c>
      <c r="N346" t="inlineStr">
        <is>
          <t>Venda</t>
        </is>
      </c>
    </row>
    <row r="347">
      <c r="A347" t="inlineStr">
        <is>
          <t>2026-06-28</t>
        </is>
      </c>
      <c r="B347" t="inlineStr">
        <is>
          <t>vivareal.com.br</t>
        </is>
      </c>
      <c r="C347" t="inlineStr">
        <is>
          <t>VivaReal</t>
        </is>
      </c>
      <c r="E347" t="inlineStr">
        <is>
          <t>Terreno</t>
        </is>
      </c>
      <c r="F347" t="inlineStr">
        <is>
          <t>Bom Jardim · Rua Pioneiro Santo Aliberti</t>
        </is>
      </c>
      <c r="G347" t="n">
        <v>475</v>
      </c>
      <c r="L347" t="n">
        <v>392929</v>
      </c>
      <c r="M347" t="inlineStr">
        <is>
          <t>VivaReal | id:2718698762</t>
        </is>
      </c>
      <c r="N347" t="inlineStr">
        <is>
          <t>Venda</t>
        </is>
      </c>
    </row>
    <row r="348">
      <c r="A348" t="inlineStr">
        <is>
          <t>2026-06-28</t>
        </is>
      </c>
      <c r="B348" t="inlineStr">
        <is>
          <t>vivareal.com.br</t>
        </is>
      </c>
      <c r="C348" t="inlineStr">
        <is>
          <t>VivaReal</t>
        </is>
      </c>
      <c r="E348" t="inlineStr">
        <is>
          <t>Casa</t>
        </is>
      </c>
      <c r="F348" t="inlineStr">
        <is>
          <t>Jardim Colina Verde · Rua Pioneiro João Calvi</t>
        </is>
      </c>
      <c r="G348" t="n">
        <v>134</v>
      </c>
      <c r="H348" t="n">
        <v>3</v>
      </c>
      <c r="K348" t="n">
        <v>3</v>
      </c>
      <c r="L348" t="n">
        <v>749000</v>
      </c>
      <c r="M348" t="inlineStr">
        <is>
          <t>VivaReal | id:2883390800</t>
        </is>
      </c>
      <c r="N348" t="inlineStr">
        <is>
          <t>Venda</t>
        </is>
      </c>
    </row>
    <row r="349">
      <c r="A349" t="inlineStr">
        <is>
          <t>2026-06-28</t>
        </is>
      </c>
      <c r="B349" t="inlineStr">
        <is>
          <t>vivareal.com.br</t>
        </is>
      </c>
      <c r="C349" t="inlineStr">
        <is>
          <t>VivaReal</t>
        </is>
      </c>
      <c r="E349" t="inlineStr">
        <is>
          <t>Casa</t>
        </is>
      </c>
      <c r="F349" t="inlineStr">
        <is>
          <t>Jardim Copacabana · Rua Pioneiro Germano Lazaretti</t>
        </is>
      </c>
      <c r="G349" t="n">
        <v>122</v>
      </c>
      <c r="H349" t="n">
        <v>3</v>
      </c>
      <c r="K349" t="n">
        <v>2</v>
      </c>
      <c r="L349" t="n">
        <v>480000</v>
      </c>
      <c r="M349" t="inlineStr">
        <is>
          <t>VivaReal | id:2875239578</t>
        </is>
      </c>
      <c r="N349" t="inlineStr">
        <is>
          <t>Venda</t>
        </is>
      </c>
    </row>
    <row r="350">
      <c r="A350" t="inlineStr">
        <is>
          <t>2026-06-28</t>
        </is>
      </c>
      <c r="B350" t="inlineStr">
        <is>
          <t>vivareal.com.br</t>
        </is>
      </c>
      <c r="C350" t="inlineStr">
        <is>
          <t>VivaReal</t>
        </is>
      </c>
      <c r="E350" t="inlineStr">
        <is>
          <t>Sobrado</t>
        </is>
      </c>
      <c r="F350" t="inlineStr">
        <is>
          <t>Jardim Lucianópolis · Rua dos Jasmins</t>
        </is>
      </c>
      <c r="G350" t="n">
        <v>240</v>
      </c>
      <c r="H350" t="n">
        <v>3</v>
      </c>
      <c r="L350" t="n">
        <v>780000</v>
      </c>
      <c r="M350" t="inlineStr">
        <is>
          <t>VivaReal | id:2866343654</t>
        </is>
      </c>
      <c r="N350" t="inlineStr">
        <is>
          <t>Venda</t>
        </is>
      </c>
    </row>
    <row r="351">
      <c r="A351" t="inlineStr">
        <is>
          <t>2026-06-28</t>
        </is>
      </c>
      <c r="B351" t="inlineStr">
        <is>
          <t>vivareal.com.br</t>
        </is>
      </c>
      <c r="C351" t="inlineStr">
        <is>
          <t>VivaReal</t>
        </is>
      </c>
      <c r="E351" t="inlineStr">
        <is>
          <t>Terreno</t>
        </is>
      </c>
      <c r="F351" t="inlineStr">
        <is>
          <t>Parque Industrial · Avenida Marcelo Messias Busiquia</t>
        </is>
      </c>
      <c r="G351" t="n">
        <v>17</v>
      </c>
      <c r="L351" t="n">
        <v>28000000</v>
      </c>
      <c r="M351" t="inlineStr">
        <is>
          <t>VivaReal | id:2820173548</t>
        </is>
      </c>
      <c r="N351" t="inlineStr">
        <is>
          <t>Venda</t>
        </is>
      </c>
    </row>
    <row r="352">
      <c r="A352" t="inlineStr">
        <is>
          <t>2026-06-28</t>
        </is>
      </c>
      <c r="B352" t="inlineStr">
        <is>
          <t>vivareal.com.br</t>
        </is>
      </c>
      <c r="C352" t="inlineStr">
        <is>
          <t>VivaReal</t>
        </is>
      </c>
      <c r="E352" t="inlineStr">
        <is>
          <t>Casa</t>
        </is>
      </c>
      <c r="F352" t="inlineStr">
        <is>
          <t>Loteamento Madrid · Rua Becervilho dos Santos</t>
        </is>
      </c>
      <c r="G352" t="n">
        <v>75</v>
      </c>
      <c r="H352" t="n">
        <v>3</v>
      </c>
      <c r="K352" t="n">
        <v>2</v>
      </c>
      <c r="L352" t="n">
        <v>410000</v>
      </c>
      <c r="M352" t="inlineStr">
        <is>
          <t>VivaReal | id:2891556734</t>
        </is>
      </c>
      <c r="N352" t="inlineStr">
        <is>
          <t>Venda</t>
        </is>
      </c>
    </row>
    <row r="353">
      <c r="A353" t="inlineStr">
        <is>
          <t>2026-06-28</t>
        </is>
      </c>
      <c r="B353" t="inlineStr">
        <is>
          <t>vivareal.com.br</t>
        </is>
      </c>
      <c r="C353" t="inlineStr">
        <is>
          <t>VivaReal</t>
        </is>
      </c>
      <c r="E353" t="inlineStr">
        <is>
          <t>Casa</t>
        </is>
      </c>
      <c r="F353" t="inlineStr">
        <is>
          <t>Conjunto Residencial Cidade Alta · Rua Pioneiro Manoel Domingos Prina</t>
        </is>
      </c>
      <c r="G353" t="n">
        <v>130</v>
      </c>
      <c r="H353" t="n">
        <v>2</v>
      </c>
      <c r="K353" t="n">
        <v>4</v>
      </c>
      <c r="L353" t="n">
        <v>280000</v>
      </c>
      <c r="M353" t="inlineStr">
        <is>
          <t>VivaReal | id:2883443574</t>
        </is>
      </c>
      <c r="N353" t="inlineStr">
        <is>
          <t>Venda</t>
        </is>
      </c>
    </row>
    <row r="354">
      <c r="A354" t="inlineStr">
        <is>
          <t>2026-06-28</t>
        </is>
      </c>
      <c r="B354" t="inlineStr">
        <is>
          <t>vivareal.com.br</t>
        </is>
      </c>
      <c r="C354" t="inlineStr">
        <is>
          <t>VivaReal</t>
        </is>
      </c>
      <c r="E354" t="inlineStr">
        <is>
          <t>Casa</t>
        </is>
      </c>
      <c r="F354" t="inlineStr">
        <is>
          <t>Jardim Santa Rosa · Rua Marcílio Zequim</t>
        </is>
      </c>
      <c r="G354" t="n">
        <v>74</v>
      </c>
      <c r="H354" t="n">
        <v>2</v>
      </c>
      <c r="K354" t="n">
        <v>2</v>
      </c>
      <c r="L354" t="n">
        <v>350000</v>
      </c>
      <c r="M354" t="inlineStr">
        <is>
          <t>VivaReal | id:2893452125</t>
        </is>
      </c>
      <c r="N354" t="inlineStr">
        <is>
          <t>Venda</t>
        </is>
      </c>
    </row>
    <row r="355">
      <c r="A355" t="inlineStr">
        <is>
          <t>2026-06-28</t>
        </is>
      </c>
      <c r="B355" t="inlineStr">
        <is>
          <t>vivareal.com.br</t>
        </is>
      </c>
      <c r="C355" t="inlineStr">
        <is>
          <t>VivaReal</t>
        </is>
      </c>
      <c r="E355" t="inlineStr">
        <is>
          <t>Casa</t>
        </is>
      </c>
      <c r="F355" t="inlineStr">
        <is>
          <t>Zona 06 · Rua Rui Barbosa</t>
        </is>
      </c>
      <c r="G355" t="n">
        <v>266</v>
      </c>
      <c r="H355" t="n">
        <v>3</v>
      </c>
      <c r="K355" t="n">
        <v>1</v>
      </c>
      <c r="L355" t="n">
        <v>648000</v>
      </c>
      <c r="M355" t="inlineStr">
        <is>
          <t>VivaReal | id:2700383786</t>
        </is>
      </c>
      <c r="N355" t="inlineStr">
        <is>
          <t>Venda</t>
        </is>
      </c>
    </row>
    <row r="356">
      <c r="A356" t="inlineStr">
        <is>
          <t>2026-06-28</t>
        </is>
      </c>
      <c r="B356" t="inlineStr">
        <is>
          <t>vivareal.com.br</t>
        </is>
      </c>
      <c r="C356" t="inlineStr">
        <is>
          <t>VivaReal</t>
        </is>
      </c>
      <c r="E356" t="inlineStr">
        <is>
          <t>Apartamento</t>
        </is>
      </c>
      <c r="F356" t="inlineStr">
        <is>
          <t>Chácara Paulista · Rua Doutor Saulo Porto Virmond</t>
        </is>
      </c>
      <c r="G356" t="n">
        <v>74</v>
      </c>
      <c r="H356" t="n">
        <v>3</v>
      </c>
      <c r="K356" t="n">
        <v>1</v>
      </c>
      <c r="L356" t="n">
        <v>360000</v>
      </c>
      <c r="M356" t="inlineStr">
        <is>
          <t>VivaReal | id:2856963755</t>
        </is>
      </c>
      <c r="N356" t="inlineStr">
        <is>
          <t>Venda</t>
        </is>
      </c>
    </row>
    <row r="357">
      <c r="A357" t="inlineStr">
        <is>
          <t>2026-06-28</t>
        </is>
      </c>
      <c r="B357" t="inlineStr">
        <is>
          <t>vivareal.com.br</t>
        </is>
      </c>
      <c r="C357" t="inlineStr">
        <is>
          <t>VivaReal</t>
        </is>
      </c>
      <c r="E357" t="inlineStr">
        <is>
          <t>Casa</t>
        </is>
      </c>
      <c r="F357" t="inlineStr">
        <is>
          <t>Jardim Guairacá · Rua Manoel da Silveira</t>
        </is>
      </c>
      <c r="G357" t="n">
        <v>85</v>
      </c>
      <c r="H357" t="n">
        <v>3</v>
      </c>
      <c r="K357" t="n">
        <v>2</v>
      </c>
      <c r="L357" t="n">
        <v>430000</v>
      </c>
      <c r="M357" t="inlineStr">
        <is>
          <t>VivaReal | id:2886955681</t>
        </is>
      </c>
      <c r="N357" t="inlineStr">
        <is>
          <t>Venda</t>
        </is>
      </c>
    </row>
    <row r="358">
      <c r="A358" t="inlineStr">
        <is>
          <t>2026-06-28</t>
        </is>
      </c>
      <c r="B358" t="inlineStr">
        <is>
          <t>vivareal.com.br</t>
        </is>
      </c>
      <c r="C358" t="inlineStr">
        <is>
          <t>VivaReal</t>
        </is>
      </c>
      <c r="E358" t="inlineStr">
        <is>
          <t>Casa</t>
        </is>
      </c>
      <c r="F358" t="inlineStr">
        <is>
          <t>Jardim Novo Oásis · Rua Rio Mamoré</t>
        </is>
      </c>
      <c r="G358" t="n">
        <v>105</v>
      </c>
      <c r="H358" t="n">
        <v>4</v>
      </c>
      <c r="K358" t="n">
        <v>2</v>
      </c>
      <c r="L358" t="n">
        <v>600000</v>
      </c>
      <c r="M358" t="inlineStr">
        <is>
          <t>VivaReal | id:2889266275</t>
        </is>
      </c>
      <c r="N358" t="inlineStr">
        <is>
          <t>Venda</t>
        </is>
      </c>
    </row>
    <row r="359">
      <c r="A359" t="inlineStr">
        <is>
          <t>2026-06-28</t>
        </is>
      </c>
      <c r="B359" t="inlineStr">
        <is>
          <t>vivareal.com.br</t>
        </is>
      </c>
      <c r="C359" t="inlineStr">
        <is>
          <t>VivaReal</t>
        </is>
      </c>
      <c r="E359" t="inlineStr">
        <is>
          <t>Terreno</t>
        </is>
      </c>
      <c r="F359" t="inlineStr">
        <is>
          <t>Jardim Montreal · Rua Pioneiro Domênico Durso</t>
        </is>
      </c>
      <c r="G359" t="n">
        <v>301</v>
      </c>
      <c r="L359" t="n">
        <v>195000</v>
      </c>
      <c r="M359" t="inlineStr">
        <is>
          <t>VivaReal | id:2873825510</t>
        </is>
      </c>
      <c r="N359" t="inlineStr">
        <is>
          <t>Venda</t>
        </is>
      </c>
    </row>
    <row r="360">
      <c r="A360" t="inlineStr">
        <is>
          <t>2026-06-28</t>
        </is>
      </c>
      <c r="B360" t="inlineStr">
        <is>
          <t>vivareal.com.br</t>
        </is>
      </c>
      <c r="C360" t="inlineStr">
        <is>
          <t>VivaReal</t>
        </is>
      </c>
      <c r="E360" t="inlineStr">
        <is>
          <t>Casa</t>
        </is>
      </c>
      <c r="F360" t="inlineStr">
        <is>
          <t>Jardim Fregadolli · Rua Pioneiro Domingos Errerias Ernandes</t>
        </is>
      </c>
      <c r="G360" t="n">
        <v>105</v>
      </c>
      <c r="H360" t="n">
        <v>3</v>
      </c>
      <c r="K360" t="n">
        <v>2</v>
      </c>
      <c r="L360" t="n">
        <v>750000</v>
      </c>
      <c r="M360" t="inlineStr">
        <is>
          <t>VivaReal | id:2775719732</t>
        </is>
      </c>
      <c r="N360" t="inlineStr">
        <is>
          <t>Venda</t>
        </is>
      </c>
    </row>
    <row r="361">
      <c r="A361" t="inlineStr">
        <is>
          <t>2026-06-28</t>
        </is>
      </c>
      <c r="B361" t="inlineStr">
        <is>
          <t>vivareal.com.br</t>
        </is>
      </c>
      <c r="C361" t="inlineStr">
        <is>
          <t>VivaReal</t>
        </is>
      </c>
      <c r="E361" t="inlineStr">
        <is>
          <t>Terreno</t>
        </is>
      </c>
      <c r="F361" t="inlineStr">
        <is>
          <t>Jardim Munique · Rua Diógenes Pinto</t>
        </is>
      </c>
      <c r="G361" t="n">
        <v>300</v>
      </c>
      <c r="K361" t="n">
        <v>4</v>
      </c>
      <c r="L361" t="n">
        <v>330000</v>
      </c>
      <c r="M361" t="inlineStr">
        <is>
          <t>VivaReal | id:2837548574</t>
        </is>
      </c>
      <c r="N361" t="inlineStr">
        <is>
          <t>Venda</t>
        </is>
      </c>
    </row>
    <row r="362">
      <c r="A362" t="inlineStr">
        <is>
          <t>2026-06-28</t>
        </is>
      </c>
      <c r="B362" t="inlineStr">
        <is>
          <t>vivareal.com.br</t>
        </is>
      </c>
      <c r="C362" t="inlineStr">
        <is>
          <t>VivaReal</t>
        </is>
      </c>
      <c r="E362" t="inlineStr">
        <is>
          <t>Terreno</t>
        </is>
      </c>
      <c r="F362" t="inlineStr">
        <is>
          <t>Jardim Itália II · Rua Pioneiro Carlos João Basso</t>
        </is>
      </c>
      <c r="G362" t="n">
        <v>360</v>
      </c>
      <c r="L362" t="n">
        <v>385000</v>
      </c>
      <c r="M362" t="inlineStr">
        <is>
          <t>VivaReal | id:2821091061</t>
        </is>
      </c>
      <c r="N362" t="inlineStr">
        <is>
          <t>Venda</t>
        </is>
      </c>
    </row>
    <row r="363">
      <c r="A363" t="inlineStr">
        <is>
          <t>2026-06-28</t>
        </is>
      </c>
      <c r="B363" t="inlineStr">
        <is>
          <t>vivareal.com.br</t>
        </is>
      </c>
      <c r="C363" t="inlineStr">
        <is>
          <t>VivaReal</t>
        </is>
      </c>
      <c r="E363" t="inlineStr">
        <is>
          <t>Terreno</t>
        </is>
      </c>
      <c r="F363" t="inlineStr">
        <is>
          <t>Loteamento Sumaré · Rua Pioneiro Alfredo José da Costa</t>
        </is>
      </c>
      <c r="G363" t="n">
        <v>380</v>
      </c>
      <c r="L363" t="n">
        <v>360000</v>
      </c>
      <c r="M363" t="inlineStr">
        <is>
          <t>VivaReal | id:2843133848</t>
        </is>
      </c>
      <c r="N363" t="inlineStr">
        <is>
          <t>Venda</t>
        </is>
      </c>
    </row>
    <row r="364">
      <c r="A364" t="inlineStr">
        <is>
          <t>2026-06-28</t>
        </is>
      </c>
      <c r="B364" t="inlineStr">
        <is>
          <t>vivareal.com.br</t>
        </is>
      </c>
      <c r="C364" t="inlineStr">
        <is>
          <t>VivaReal</t>
        </is>
      </c>
      <c r="E364" t="inlineStr">
        <is>
          <t>Imóvel Comercial</t>
        </is>
      </c>
      <c r="G364" t="n">
        <v>180</v>
      </c>
      <c r="K364" t="n">
        <v>4</v>
      </c>
      <c r="L364" t="n">
        <v>399000</v>
      </c>
      <c r="M364" t="inlineStr">
        <is>
          <t>VivaReal | id:2893931180</t>
        </is>
      </c>
      <c r="N364" t="inlineStr">
        <is>
          <t>Venda</t>
        </is>
      </c>
    </row>
    <row r="365">
      <c r="A365" t="inlineStr">
        <is>
          <t>2026-06-28</t>
        </is>
      </c>
      <c r="B365" t="inlineStr">
        <is>
          <t>vivareal.com.br</t>
        </is>
      </c>
      <c r="C365" t="inlineStr">
        <is>
          <t>VivaReal</t>
        </is>
      </c>
      <c r="E365" t="inlineStr">
        <is>
          <t>Casa</t>
        </is>
      </c>
      <c r="F365" t="inlineStr">
        <is>
          <t>Loteamento Sumaré · Rua Maria Bertolina Carolino</t>
        </is>
      </c>
      <c r="G365" t="n">
        <v>100</v>
      </c>
      <c r="H365" t="n">
        <v>3</v>
      </c>
      <c r="K365" t="n">
        <v>2</v>
      </c>
      <c r="L365" t="n">
        <v>430000</v>
      </c>
      <c r="M365" t="inlineStr">
        <is>
          <t>VivaReal | id:2872776770</t>
        </is>
      </c>
      <c r="N365" t="inlineStr">
        <is>
          <t>Venda</t>
        </is>
      </c>
    </row>
    <row r="366">
      <c r="A366" t="inlineStr">
        <is>
          <t>2026-06-28</t>
        </is>
      </c>
      <c r="B366" t="inlineStr">
        <is>
          <t>vivareal.com.br</t>
        </is>
      </c>
      <c r="C366" t="inlineStr">
        <is>
          <t>VivaReal</t>
        </is>
      </c>
      <c r="E366" t="inlineStr">
        <is>
          <t>Apartamento</t>
        </is>
      </c>
      <c r="F366" t="inlineStr">
        <is>
          <t>Chácara Paulista · Rua Distrito Federal</t>
        </is>
      </c>
      <c r="G366" t="n">
        <v>76</v>
      </c>
      <c r="H366" t="n">
        <v>3</v>
      </c>
      <c r="L366" t="n">
        <v>420000</v>
      </c>
      <c r="M366" t="inlineStr">
        <is>
          <t>VivaReal | id:2886197501</t>
        </is>
      </c>
      <c r="N366" t="inlineStr">
        <is>
          <t>Venda</t>
        </is>
      </c>
    </row>
    <row r="367">
      <c r="A367" t="inlineStr">
        <is>
          <t>2026-06-28</t>
        </is>
      </c>
      <c r="B367" t="inlineStr">
        <is>
          <t>vivareal.com.br</t>
        </is>
      </c>
      <c r="C367" t="inlineStr">
        <is>
          <t>VivaReal</t>
        </is>
      </c>
      <c r="E367" t="inlineStr">
        <is>
          <t>Terreno</t>
        </is>
      </c>
      <c r="F367" t="inlineStr">
        <is>
          <t>Jardins de Monet Residence · Estrada Romeirinha</t>
        </is>
      </c>
      <c r="G367" t="n">
        <v>540</v>
      </c>
      <c r="L367" t="n">
        <v>810000</v>
      </c>
      <c r="M367" t="inlineStr">
        <is>
          <t>VivaReal | id:2891939779</t>
        </is>
      </c>
      <c r="N367" t="inlineStr">
        <is>
          <t>Venda</t>
        </is>
      </c>
    </row>
    <row r="368">
      <c r="A368" t="inlineStr">
        <is>
          <t>2026-06-28</t>
        </is>
      </c>
      <c r="B368" t="inlineStr">
        <is>
          <t>vivareal.com.br</t>
        </is>
      </c>
      <c r="C368" t="inlineStr">
        <is>
          <t>VivaReal</t>
        </is>
      </c>
      <c r="E368" t="inlineStr">
        <is>
          <t>Casa</t>
        </is>
      </c>
      <c r="F368" t="inlineStr">
        <is>
          <t>Jardim Paulista III · Rua Francisco Dias de Aro</t>
        </is>
      </c>
      <c r="G368" t="n">
        <v>103</v>
      </c>
      <c r="H368" t="n">
        <v>3</v>
      </c>
      <c r="K368" t="n">
        <v>2</v>
      </c>
      <c r="L368" t="n">
        <v>450000</v>
      </c>
      <c r="M368" t="inlineStr">
        <is>
          <t>VivaReal | id:2843134131</t>
        </is>
      </c>
      <c r="N368" t="inlineStr">
        <is>
          <t>Venda</t>
        </is>
      </c>
    </row>
    <row r="369">
      <c r="A369" t="inlineStr">
        <is>
          <t>2026-06-28</t>
        </is>
      </c>
      <c r="B369" t="inlineStr">
        <is>
          <t>vivareal.com.br</t>
        </is>
      </c>
      <c r="C369" t="inlineStr">
        <is>
          <t>VivaReal</t>
        </is>
      </c>
      <c r="E369" t="inlineStr">
        <is>
          <t>Terreno</t>
        </is>
      </c>
      <c r="F369" t="inlineStr">
        <is>
          <t>Jardim Oriental · Rua Yodomu Yugeta</t>
        </is>
      </c>
      <c r="G369" t="n">
        <v>400</v>
      </c>
      <c r="L369" t="n">
        <v>405000</v>
      </c>
      <c r="M369" t="inlineStr">
        <is>
          <t>VivaReal | id:2821101306</t>
        </is>
      </c>
      <c r="N369" t="inlineStr">
        <is>
          <t>Venda</t>
        </is>
      </c>
    </row>
    <row r="370">
      <c r="A370" t="inlineStr">
        <is>
          <t>2026-06-28</t>
        </is>
      </c>
      <c r="B370" t="inlineStr">
        <is>
          <t>vivareal.com.br</t>
        </is>
      </c>
      <c r="C370" t="inlineStr">
        <is>
          <t>VivaReal</t>
        </is>
      </c>
      <c r="E370" t="inlineStr">
        <is>
          <t>Casa</t>
        </is>
      </c>
      <c r="F370" t="inlineStr">
        <is>
          <t>Vila Morangueira · Rua Lima</t>
        </is>
      </c>
      <c r="G370" t="n">
        <v>117</v>
      </c>
      <c r="H370" t="n">
        <v>3</v>
      </c>
      <c r="K370" t="n">
        <v>1</v>
      </c>
      <c r="L370" t="n">
        <v>480000</v>
      </c>
      <c r="M370" t="inlineStr">
        <is>
          <t>VivaReal | id:2885321880</t>
        </is>
      </c>
      <c r="N370" t="inlineStr">
        <is>
          <t>Venda</t>
        </is>
      </c>
    </row>
    <row r="371">
      <c r="A371" t="inlineStr">
        <is>
          <t>2026-06-28</t>
        </is>
      </c>
      <c r="B371" t="inlineStr">
        <is>
          <t>vivareal.com.br</t>
        </is>
      </c>
      <c r="C371" t="inlineStr">
        <is>
          <t>VivaReal</t>
        </is>
      </c>
      <c r="E371" t="inlineStr">
        <is>
          <t>Terreno</t>
        </is>
      </c>
      <c r="F371" t="inlineStr">
        <is>
          <t>Jardim Pinheiros · Rua Araucária</t>
        </is>
      </c>
      <c r="G371" t="n">
        <v>304</v>
      </c>
      <c r="L371" t="n">
        <v>320000</v>
      </c>
      <c r="M371" t="inlineStr">
        <is>
          <t>VivaReal | id:2872194725</t>
        </is>
      </c>
      <c r="N371" t="inlineStr">
        <is>
          <t>Venda</t>
        </is>
      </c>
    </row>
    <row r="372">
      <c r="A372" t="inlineStr">
        <is>
          <t>2026-06-28</t>
        </is>
      </c>
      <c r="B372" t="inlineStr">
        <is>
          <t>vivareal.com.br</t>
        </is>
      </c>
      <c r="C372" t="inlineStr">
        <is>
          <t>VivaReal</t>
        </is>
      </c>
      <c r="E372" t="inlineStr">
        <is>
          <t>Casa</t>
        </is>
      </c>
      <c r="F372" t="inlineStr">
        <is>
          <t>Jardim Paulista Iii</t>
        </is>
      </c>
      <c r="G372" t="n">
        <v>85</v>
      </c>
      <c r="H372" t="n">
        <v>3</v>
      </c>
      <c r="L372" t="n">
        <v>450000</v>
      </c>
      <c r="M372" t="inlineStr">
        <is>
          <t>VivaReal | id:2859601169</t>
        </is>
      </c>
      <c r="N372" t="inlineStr">
        <is>
          <t>Venda</t>
        </is>
      </c>
    </row>
    <row r="373">
      <c r="A373" t="inlineStr">
        <is>
          <t>2026-06-28</t>
        </is>
      </c>
      <c r="B373" t="inlineStr">
        <is>
          <t>vivareal.com.br</t>
        </is>
      </c>
      <c r="C373" t="inlineStr">
        <is>
          <t>VivaReal</t>
        </is>
      </c>
      <c r="E373" t="inlineStr">
        <is>
          <t>Apartamento</t>
        </is>
      </c>
      <c r="F373" t="inlineStr">
        <is>
          <t>Zona 08 · Avenida Londrina</t>
        </is>
      </c>
      <c r="G373" t="n">
        <v>66</v>
      </c>
      <c r="H373" t="n">
        <v>2</v>
      </c>
      <c r="K373" t="n">
        <v>1</v>
      </c>
      <c r="L373" t="n">
        <v>605000</v>
      </c>
      <c r="M373" t="inlineStr">
        <is>
          <t>VivaReal | id:2889254792</t>
        </is>
      </c>
      <c r="N373" t="inlineStr">
        <is>
          <t>Venda</t>
        </is>
      </c>
    </row>
    <row r="374">
      <c r="A374" t="inlineStr">
        <is>
          <t>2026-06-28</t>
        </is>
      </c>
      <c r="B374" t="inlineStr">
        <is>
          <t>vivareal.com.br</t>
        </is>
      </c>
      <c r="C374" t="inlineStr">
        <is>
          <t>VivaReal</t>
        </is>
      </c>
      <c r="E374" t="inlineStr">
        <is>
          <t>Casa</t>
        </is>
      </c>
      <c r="F374" t="inlineStr">
        <is>
          <t>Conjunto João de Barro Cidade Canção · Rua Pioneiro Gabriel José dos Santos</t>
        </is>
      </c>
      <c r="G374" t="n">
        <v>74</v>
      </c>
      <c r="H374" t="n">
        <v>3</v>
      </c>
      <c r="K374" t="n">
        <v>2</v>
      </c>
      <c r="L374" t="n">
        <v>370000</v>
      </c>
      <c r="M374" t="inlineStr">
        <is>
          <t>VivaReal | id:2875689966</t>
        </is>
      </c>
      <c r="N374" t="inlineStr">
        <is>
          <t>Venda</t>
        </is>
      </c>
    </row>
    <row r="375">
      <c r="A375" t="inlineStr">
        <is>
          <t>2026-06-28</t>
        </is>
      </c>
      <c r="B375" t="inlineStr">
        <is>
          <t>vivareal.com.br</t>
        </is>
      </c>
      <c r="C375" t="inlineStr">
        <is>
          <t>VivaReal</t>
        </is>
      </c>
      <c r="E375" t="inlineStr">
        <is>
          <t>Imóvel Comercial</t>
        </is>
      </c>
      <c r="F375" t="inlineStr">
        <is>
          <t>Parque Avenida · Rua Allan Kardec</t>
        </is>
      </c>
      <c r="G375" t="n">
        <v>94</v>
      </c>
      <c r="H375" t="n">
        <v>2</v>
      </c>
      <c r="K375" t="n">
        <v>1</v>
      </c>
      <c r="L375" t="n">
        <v>480000</v>
      </c>
      <c r="M375" t="inlineStr">
        <is>
          <t>VivaReal | id:2875824098</t>
        </is>
      </c>
      <c r="N375" t="inlineStr">
        <is>
          <t>Venda</t>
        </is>
      </c>
    </row>
    <row r="376">
      <c r="A376" t="inlineStr">
        <is>
          <t>2026-06-28</t>
        </is>
      </c>
      <c r="B376" t="inlineStr">
        <is>
          <t>vivareal.com.br</t>
        </is>
      </c>
      <c r="C376" t="inlineStr">
        <is>
          <t>VivaReal</t>
        </is>
      </c>
      <c r="E376" t="inlineStr">
        <is>
          <t>Casa</t>
        </is>
      </c>
      <c r="F376" t="inlineStr">
        <is>
          <t>Jardim Liberdade · Rua Pioneiro Carlos Poppi</t>
        </is>
      </c>
      <c r="G376" t="n">
        <v>114</v>
      </c>
      <c r="H376" t="n">
        <v>3</v>
      </c>
      <c r="K376" t="n">
        <v>2</v>
      </c>
      <c r="L376" t="n">
        <v>680000</v>
      </c>
      <c r="M376" t="inlineStr">
        <is>
          <t>VivaReal | id:2868189279</t>
        </is>
      </c>
      <c r="N376" t="inlineStr">
        <is>
          <t>Venda</t>
        </is>
      </c>
    </row>
    <row r="377">
      <c r="A377" t="inlineStr">
        <is>
          <t>2026-06-28</t>
        </is>
      </c>
      <c r="B377" t="inlineStr">
        <is>
          <t>vivareal.com.br</t>
        </is>
      </c>
      <c r="C377" t="inlineStr">
        <is>
          <t>VivaReal</t>
        </is>
      </c>
      <c r="E377" t="inlineStr">
        <is>
          <t>Casa</t>
        </is>
      </c>
      <c r="F377" t="inlineStr">
        <is>
          <t>Jardim Itaipu · Rua Pioneiro Antônio Alves Teixeira</t>
        </is>
      </c>
      <c r="G377" t="n">
        <v>86</v>
      </c>
      <c r="H377" t="n">
        <v>3</v>
      </c>
      <c r="L377" t="n">
        <v>550000</v>
      </c>
      <c r="M377" t="inlineStr">
        <is>
          <t>VivaReal | id:2882776194</t>
        </is>
      </c>
      <c r="N377" t="inlineStr">
        <is>
          <t>Venda</t>
        </is>
      </c>
    </row>
    <row r="378">
      <c r="A378" t="inlineStr">
        <is>
          <t>2026-06-28</t>
        </is>
      </c>
      <c r="B378" t="inlineStr">
        <is>
          <t>vivareal.com.br</t>
        </is>
      </c>
      <c r="C378" t="inlineStr">
        <is>
          <t>VivaReal</t>
        </is>
      </c>
      <c r="E378" t="inlineStr">
        <is>
          <t>Casa</t>
        </is>
      </c>
      <c r="F378" t="inlineStr">
        <is>
          <t>Jardim Imperial II · Rua Pará</t>
        </is>
      </c>
      <c r="G378" t="n">
        <v>114</v>
      </c>
      <c r="H378" t="n">
        <v>3</v>
      </c>
      <c r="K378" t="n">
        <v>1</v>
      </c>
      <c r="L378" t="n">
        <v>414000</v>
      </c>
      <c r="M378" t="inlineStr">
        <is>
          <t>VivaReal | id:2634364367</t>
        </is>
      </c>
      <c r="N378" t="inlineStr">
        <is>
          <t>Venda</t>
        </is>
      </c>
    </row>
    <row r="379">
      <c r="A379" t="inlineStr">
        <is>
          <t>2026-06-28</t>
        </is>
      </c>
      <c r="B379" t="inlineStr">
        <is>
          <t>vivareal.com.br</t>
        </is>
      </c>
      <c r="C379" t="inlineStr">
        <is>
          <t>VivaReal</t>
        </is>
      </c>
      <c r="E379" t="inlineStr">
        <is>
          <t>Apartamento</t>
        </is>
      </c>
      <c r="F379" t="inlineStr">
        <is>
          <t>Zona 07 · Rua Quintino Bocaiúva</t>
        </is>
      </c>
      <c r="G379" t="n">
        <v>42</v>
      </c>
      <c r="H379" t="n">
        <v>2</v>
      </c>
      <c r="K379" t="n">
        <v>1</v>
      </c>
      <c r="L379" t="n">
        <v>330000</v>
      </c>
      <c r="M379" t="inlineStr">
        <is>
          <t>VivaReal | id:2872776524</t>
        </is>
      </c>
      <c r="N379" t="inlineStr">
        <is>
          <t>Venda</t>
        </is>
      </c>
    </row>
    <row r="380">
      <c r="A380" t="inlineStr">
        <is>
          <t>2026-06-28</t>
        </is>
      </c>
      <c r="B380" t="inlineStr">
        <is>
          <t>vivareal.com.br</t>
        </is>
      </c>
      <c r="C380" t="inlineStr">
        <is>
          <t>VivaReal</t>
        </is>
      </c>
      <c r="E380" t="inlineStr">
        <is>
          <t>Casa</t>
        </is>
      </c>
      <c r="F380" t="inlineStr">
        <is>
          <t>Jardim Diamante · Rua Rodolpho Maibon Moreira</t>
        </is>
      </c>
      <c r="G380" t="n">
        <v>114</v>
      </c>
      <c r="H380" t="n">
        <v>3</v>
      </c>
      <c r="K380" t="n">
        <v>3</v>
      </c>
      <c r="L380" t="n">
        <v>560000</v>
      </c>
      <c r="M380" t="inlineStr">
        <is>
          <t>VivaReal | id:2772915013</t>
        </is>
      </c>
      <c r="N380" t="inlineStr">
        <is>
          <t>Venda</t>
        </is>
      </c>
    </row>
    <row r="381">
      <c r="A381" t="inlineStr">
        <is>
          <t>2026-06-28</t>
        </is>
      </c>
      <c r="B381" t="inlineStr">
        <is>
          <t>vivareal.com.br</t>
        </is>
      </c>
      <c r="C381" t="inlineStr">
        <is>
          <t>VivaReal</t>
        </is>
      </c>
      <c r="E381" t="inlineStr">
        <is>
          <t>Casa</t>
        </is>
      </c>
      <c r="F381" t="inlineStr">
        <is>
          <t>Jardim Paulista III · Rua Pioneiro Walcyr Baveloni</t>
        </is>
      </c>
      <c r="G381" t="n">
        <v>80</v>
      </c>
      <c r="H381" t="n">
        <v>3</v>
      </c>
      <c r="L381" t="n">
        <v>430000</v>
      </c>
      <c r="M381" t="inlineStr">
        <is>
          <t>VivaReal | id:2845060525</t>
        </is>
      </c>
      <c r="N381" t="inlineStr">
        <is>
          <t>Venda</t>
        </is>
      </c>
    </row>
    <row r="382">
      <c r="A382" t="inlineStr">
        <is>
          <t>2026-06-28</t>
        </is>
      </c>
      <c r="B382" t="inlineStr">
        <is>
          <t>vivareal.com.br</t>
        </is>
      </c>
      <c r="C382" t="inlineStr">
        <is>
          <t>VivaReal</t>
        </is>
      </c>
      <c r="E382" t="inlineStr">
        <is>
          <t>Terreno</t>
        </is>
      </c>
      <c r="F382" t="inlineStr">
        <is>
          <t>Jardim São Silvestre · Rua Pioneiro Antonio Tait</t>
        </is>
      </c>
      <c r="G382" t="n">
        <v>320</v>
      </c>
      <c r="L382" t="n">
        <v>280000</v>
      </c>
      <c r="M382" t="inlineStr">
        <is>
          <t>VivaReal | id:2786250416</t>
        </is>
      </c>
      <c r="N382" t="inlineStr">
        <is>
          <t>Venda</t>
        </is>
      </c>
    </row>
    <row r="383">
      <c r="A383" t="inlineStr">
        <is>
          <t>2026-06-28</t>
        </is>
      </c>
      <c r="B383" t="inlineStr">
        <is>
          <t>vivareal.com.br</t>
        </is>
      </c>
      <c r="C383" t="inlineStr">
        <is>
          <t>VivaReal</t>
        </is>
      </c>
      <c r="E383" t="inlineStr">
        <is>
          <t>Casa</t>
        </is>
      </c>
      <c r="F383" t="inlineStr">
        <is>
          <t>Vila Marumby · Rua Flamengo</t>
        </is>
      </c>
      <c r="G383" t="n">
        <v>84</v>
      </c>
      <c r="H383" t="n">
        <v>3</v>
      </c>
      <c r="K383" t="n">
        <v>3</v>
      </c>
      <c r="L383" t="n">
        <v>570000</v>
      </c>
      <c r="M383" t="inlineStr">
        <is>
          <t>VivaReal | id:2894578395</t>
        </is>
      </c>
      <c r="N383" t="inlineStr">
        <is>
          <t>Venda</t>
        </is>
      </c>
    </row>
    <row r="384">
      <c r="A384" t="inlineStr">
        <is>
          <t>2026-06-28</t>
        </is>
      </c>
      <c r="B384" t="inlineStr">
        <is>
          <t>vivareal.com.br</t>
        </is>
      </c>
      <c r="C384" t="inlineStr">
        <is>
          <t>VivaReal</t>
        </is>
      </c>
      <c r="E384" t="inlineStr">
        <is>
          <t>Terreno</t>
        </is>
      </c>
      <c r="F384" t="inlineStr">
        <is>
          <t>Zona 01 · Rua Neo Alves Martins</t>
        </is>
      </c>
      <c r="G384" t="n">
        <v>64</v>
      </c>
      <c r="H384" t="n">
        <v>3</v>
      </c>
      <c r="K384" t="n">
        <v>1</v>
      </c>
      <c r="L384" t="n">
        <v>420000</v>
      </c>
      <c r="M384" t="inlineStr">
        <is>
          <t>VivaReal | id:2895220908</t>
        </is>
      </c>
      <c r="N384" t="inlineStr">
        <is>
          <t>Venda</t>
        </is>
      </c>
    </row>
    <row r="385">
      <c r="A385" t="inlineStr">
        <is>
          <t>2026-06-28</t>
        </is>
      </c>
      <c r="B385" t="inlineStr">
        <is>
          <t>vivareal.com.br</t>
        </is>
      </c>
      <c r="C385" t="inlineStr">
        <is>
          <t>VivaReal</t>
        </is>
      </c>
      <c r="E385" t="inlineStr">
        <is>
          <t>Terreno</t>
        </is>
      </c>
      <c r="F385" t="inlineStr">
        <is>
          <t>Jardim Everest · Rua Miguel Belai Filho</t>
        </is>
      </c>
      <c r="G385" t="n">
        <v>300</v>
      </c>
      <c r="L385" t="n">
        <v>300000</v>
      </c>
      <c r="M385" t="inlineStr">
        <is>
          <t>VivaReal | id:2875027404</t>
        </is>
      </c>
      <c r="N385" t="inlineStr">
        <is>
          <t>Venda</t>
        </is>
      </c>
    </row>
    <row r="386">
      <c r="A386" t="inlineStr">
        <is>
          <t>2026-06-28</t>
        </is>
      </c>
      <c r="B386" t="inlineStr">
        <is>
          <t>vivareal.com.br</t>
        </is>
      </c>
      <c r="C386" t="inlineStr">
        <is>
          <t>VivaReal</t>
        </is>
      </c>
      <c r="E386" t="inlineStr">
        <is>
          <t>Casa</t>
        </is>
      </c>
      <c r="F386" t="inlineStr">
        <is>
          <t>Jardim Everest · Rua Pioneiro Hélcio Siolari</t>
        </is>
      </c>
      <c r="G386" t="n">
        <v>60</v>
      </c>
      <c r="H386" t="n">
        <v>2</v>
      </c>
      <c r="K386" t="n">
        <v>2</v>
      </c>
      <c r="L386" t="n">
        <v>320000</v>
      </c>
      <c r="M386" t="inlineStr">
        <is>
          <t>VivaReal | id:2894174679</t>
        </is>
      </c>
      <c r="N386" t="inlineStr">
        <is>
          <t>Venda</t>
        </is>
      </c>
    </row>
    <row r="387">
      <c r="A387" t="inlineStr">
        <is>
          <t>2026-06-28</t>
        </is>
      </c>
      <c r="B387" t="inlineStr">
        <is>
          <t>vivareal.com.br</t>
        </is>
      </c>
      <c r="C387" t="inlineStr">
        <is>
          <t>VivaReal</t>
        </is>
      </c>
      <c r="E387" t="inlineStr">
        <is>
          <t>Terreno</t>
        </is>
      </c>
      <c r="F387" t="inlineStr">
        <is>
          <t>Jardim Aurora · Rua Pioneiro José Zara</t>
        </is>
      </c>
      <c r="G387" t="n">
        <v>300</v>
      </c>
      <c r="L387" t="n">
        <v>280000</v>
      </c>
      <c r="M387" t="inlineStr">
        <is>
          <t>VivaReal | id:2872491304</t>
        </is>
      </c>
      <c r="N387" t="inlineStr">
        <is>
          <t>Venda</t>
        </is>
      </c>
    </row>
    <row r="388">
      <c r="A388" t="inlineStr">
        <is>
          <t>2026-06-28</t>
        </is>
      </c>
      <c r="B388" t="inlineStr">
        <is>
          <t>vivareal.com.br</t>
        </is>
      </c>
      <c r="C388" t="inlineStr">
        <is>
          <t>VivaReal</t>
        </is>
      </c>
      <c r="E388" t="inlineStr">
        <is>
          <t>Casa</t>
        </is>
      </c>
      <c r="F388" t="inlineStr">
        <is>
          <t>Loteamento Sumaré · Rua Pioneiro Hélio dos Reis Figueiredo</t>
        </is>
      </c>
      <c r="G388" t="n">
        <v>100</v>
      </c>
      <c r="H388" t="n">
        <v>3</v>
      </c>
      <c r="K388" t="n">
        <v>2</v>
      </c>
      <c r="L388" t="n">
        <v>450000</v>
      </c>
      <c r="M388" t="inlineStr">
        <is>
          <t>VivaReal | id:2606944480</t>
        </is>
      </c>
      <c r="N388" t="inlineStr">
        <is>
          <t>Venda</t>
        </is>
      </c>
    </row>
    <row r="389">
      <c r="A389" t="inlineStr">
        <is>
          <t>2026-06-28</t>
        </is>
      </c>
      <c r="B389" t="inlineStr">
        <is>
          <t>vivareal.com.br</t>
        </is>
      </c>
      <c r="C389" t="inlineStr">
        <is>
          <t>VivaReal</t>
        </is>
      </c>
      <c r="E389" t="inlineStr">
        <is>
          <t>Terreno</t>
        </is>
      </c>
      <c r="F389" t="inlineStr">
        <is>
          <t>Jardim Oriental · Rua Yodomu Yugeta</t>
        </is>
      </c>
      <c r="G389" t="n">
        <v>621</v>
      </c>
      <c r="L389" t="n">
        <v>420000</v>
      </c>
      <c r="M389" t="inlineStr">
        <is>
          <t>VivaReal | id:2843134272</t>
        </is>
      </c>
      <c r="N389" t="inlineStr">
        <is>
          <t>Venda</t>
        </is>
      </c>
    </row>
    <row r="390">
      <c r="A390" t="inlineStr">
        <is>
          <t>2026-06-28</t>
        </is>
      </c>
      <c r="B390" t="inlineStr">
        <is>
          <t>vivareal.com.br</t>
        </is>
      </c>
      <c r="C390" t="inlineStr">
        <is>
          <t>VivaReal</t>
        </is>
      </c>
      <c r="E390" t="inlineStr">
        <is>
          <t>Terreno</t>
        </is>
      </c>
      <c r="F390" t="inlineStr">
        <is>
          <t>Vila Emília · Rua Ouro Verde</t>
        </is>
      </c>
      <c r="G390" t="n">
        <v>316</v>
      </c>
      <c r="L390" t="n">
        <v>360000</v>
      </c>
      <c r="M390" t="inlineStr">
        <is>
          <t>VivaReal | id:2821102970</t>
        </is>
      </c>
      <c r="N390" t="inlineStr">
        <is>
          <t>Venda</t>
        </is>
      </c>
    </row>
    <row r="391">
      <c r="A391" t="inlineStr">
        <is>
          <t>2026-06-28</t>
        </is>
      </c>
      <c r="B391" t="inlineStr">
        <is>
          <t>vivareal.com.br</t>
        </is>
      </c>
      <c r="C391" t="inlineStr">
        <is>
          <t>VivaReal</t>
        </is>
      </c>
      <c r="E391" t="inlineStr">
        <is>
          <t>Sobrado</t>
        </is>
      </c>
      <c r="F391" t="inlineStr">
        <is>
          <t>Parque Residencial Cidade Nova · Rua Domingos Mião</t>
        </is>
      </c>
      <c r="G391" t="n">
        <v>143</v>
      </c>
      <c r="H391" t="n">
        <v>3</v>
      </c>
      <c r="L391" t="n">
        <v>600000</v>
      </c>
      <c r="M391" t="inlineStr">
        <is>
          <t>VivaReal | id:2872845988</t>
        </is>
      </c>
      <c r="N391" t="inlineStr">
        <is>
          <t>Venda</t>
        </is>
      </c>
    </row>
    <row r="392">
      <c r="A392" t="inlineStr">
        <is>
          <t>2026-06-28</t>
        </is>
      </c>
      <c r="B392" t="inlineStr">
        <is>
          <t>vivareal.com.br</t>
        </is>
      </c>
      <c r="C392" t="inlineStr">
        <is>
          <t>VivaReal</t>
        </is>
      </c>
      <c r="E392" t="inlineStr">
        <is>
          <t>Casa</t>
        </is>
      </c>
      <c r="F392" t="inlineStr">
        <is>
          <t>Jardim Novo Paulista · Rua Pioneiro Joaquim Pedro de Oliveira</t>
        </is>
      </c>
      <c r="G392" t="n">
        <v>93</v>
      </c>
      <c r="H392" t="n">
        <v>3</v>
      </c>
      <c r="K392" t="n">
        <v>2</v>
      </c>
      <c r="L392" t="n">
        <v>450000</v>
      </c>
      <c r="M392" t="inlineStr">
        <is>
          <t>VivaReal | id:2870304077</t>
        </is>
      </c>
      <c r="N392" t="inlineStr">
        <is>
          <t>Venda</t>
        </is>
      </c>
    </row>
    <row r="393">
      <c r="A393" t="inlineStr">
        <is>
          <t>2026-06-28</t>
        </is>
      </c>
      <c r="B393" t="inlineStr">
        <is>
          <t>vivareal.com.br</t>
        </is>
      </c>
      <c r="C393" t="inlineStr">
        <is>
          <t>VivaReal</t>
        </is>
      </c>
      <c r="E393" t="inlineStr">
        <is>
          <t>Terreno</t>
        </is>
      </c>
      <c r="F393" t="inlineStr">
        <is>
          <t>Jardim Andrade · Rua Charles Carniel</t>
        </is>
      </c>
      <c r="G393" t="n">
        <v>400</v>
      </c>
      <c r="L393" t="n">
        <v>235000</v>
      </c>
      <c r="M393" t="inlineStr">
        <is>
          <t>VivaReal | id:2879707751</t>
        </is>
      </c>
      <c r="N393" t="inlineStr">
        <is>
          <t>Venda</t>
        </is>
      </c>
    </row>
    <row r="394">
      <c r="A394" t="inlineStr">
        <is>
          <t>2026-06-28</t>
        </is>
      </c>
      <c r="B394" t="inlineStr">
        <is>
          <t>vivareal.com.br</t>
        </is>
      </c>
      <c r="C394" t="inlineStr">
        <is>
          <t>VivaReal</t>
        </is>
      </c>
      <c r="E394" t="inlineStr">
        <is>
          <t>Casa</t>
        </is>
      </c>
      <c r="F394" t="inlineStr">
        <is>
          <t>Jardim Copacabana · Rua Pioneiro Jose Ferreira</t>
        </is>
      </c>
      <c r="G394" t="n">
        <v>128</v>
      </c>
      <c r="H394" t="n">
        <v>3</v>
      </c>
      <c r="K394" t="n">
        <v>2</v>
      </c>
      <c r="L394" t="n">
        <v>510000</v>
      </c>
      <c r="M394" t="inlineStr">
        <is>
          <t>VivaReal | id:2843136246</t>
        </is>
      </c>
      <c r="N394" t="inlineStr">
        <is>
          <t>Venda</t>
        </is>
      </c>
    </row>
    <row r="395">
      <c r="A395" t="inlineStr">
        <is>
          <t>2026-06-28</t>
        </is>
      </c>
      <c r="B395" t="inlineStr">
        <is>
          <t>vivareal.com.br</t>
        </is>
      </c>
      <c r="C395" t="inlineStr">
        <is>
          <t>VivaReal</t>
        </is>
      </c>
      <c r="E395" t="inlineStr">
        <is>
          <t>Terreno</t>
        </is>
      </c>
      <c r="F395" t="inlineStr">
        <is>
          <t>Jardim Colina Verde</t>
        </is>
      </c>
      <c r="G395" t="n">
        <v>200</v>
      </c>
      <c r="L395" t="n">
        <v>180000</v>
      </c>
      <c r="M395" t="inlineStr">
        <is>
          <t>VivaReal | id:2877215289</t>
        </is>
      </c>
      <c r="N395" t="inlineStr">
        <is>
          <t>Venda</t>
        </is>
      </c>
    </row>
    <row r="396">
      <c r="A396" t="inlineStr">
        <is>
          <t>2026-06-28</t>
        </is>
      </c>
      <c r="B396" t="inlineStr">
        <is>
          <t>vivareal.com.br</t>
        </is>
      </c>
      <c r="C396" t="inlineStr">
        <is>
          <t>VivaReal</t>
        </is>
      </c>
      <c r="E396" t="inlineStr">
        <is>
          <t>Casa</t>
        </is>
      </c>
      <c r="F396" t="inlineStr">
        <is>
          <t>Jardim Colina Verde · Rua Rodolfo Cremm</t>
        </is>
      </c>
      <c r="G396" t="n">
        <v>156</v>
      </c>
      <c r="H396" t="n">
        <v>2</v>
      </c>
      <c r="K396" t="n">
        <v>2</v>
      </c>
      <c r="L396" t="n">
        <v>350000</v>
      </c>
      <c r="M396" t="inlineStr">
        <is>
          <t>VivaReal | id:2880963378</t>
        </is>
      </c>
      <c r="N396" t="inlineStr">
        <is>
          <t>Venda</t>
        </is>
      </c>
    </row>
    <row r="397">
      <c r="A397" t="inlineStr">
        <is>
          <t>2026-06-28</t>
        </is>
      </c>
      <c r="B397" t="inlineStr">
        <is>
          <t>vivareal.com.br</t>
        </is>
      </c>
      <c r="C397" t="inlineStr">
        <is>
          <t>VivaReal</t>
        </is>
      </c>
      <c r="E397" t="inlineStr">
        <is>
          <t>Terreno</t>
        </is>
      </c>
      <c r="F397" t="inlineStr">
        <is>
          <t>Jardim Michelangelo · 5º Alto Pioneiro José Tel</t>
        </is>
      </c>
      <c r="G397" t="n">
        <v>400</v>
      </c>
      <c r="L397" t="n">
        <v>720342</v>
      </c>
      <c r="M397" t="inlineStr">
        <is>
          <t>VivaReal | id:2892312294</t>
        </is>
      </c>
      <c r="N397" t="inlineStr">
        <is>
          <t>Venda</t>
        </is>
      </c>
    </row>
    <row r="398">
      <c r="A398" t="inlineStr">
        <is>
          <t>2026-06-28</t>
        </is>
      </c>
      <c r="B398" t="inlineStr">
        <is>
          <t>vivareal.com.br</t>
        </is>
      </c>
      <c r="C398" t="inlineStr">
        <is>
          <t>VivaReal</t>
        </is>
      </c>
      <c r="E398" t="inlineStr">
        <is>
          <t>Casa</t>
        </is>
      </c>
      <c r="F398" t="inlineStr">
        <is>
          <t>Jardim Tupinambá · Rua Barão do Rio Pardo</t>
        </is>
      </c>
      <c r="G398" t="n">
        <v>82</v>
      </c>
      <c r="H398" t="n">
        <v>3</v>
      </c>
      <c r="K398" t="n">
        <v>2</v>
      </c>
      <c r="L398" t="n">
        <v>330000</v>
      </c>
      <c r="M398" t="inlineStr">
        <is>
          <t>VivaReal | id:2857607665</t>
        </is>
      </c>
      <c r="N398" t="inlineStr">
        <is>
          <t>Venda</t>
        </is>
      </c>
    </row>
    <row r="399">
      <c r="A399" t="inlineStr">
        <is>
          <t>2026-06-28</t>
        </is>
      </c>
      <c r="B399" t="inlineStr">
        <is>
          <t>vivareal.com.br</t>
        </is>
      </c>
      <c r="C399" t="inlineStr">
        <is>
          <t>VivaReal</t>
        </is>
      </c>
      <c r="E399" t="inlineStr">
        <is>
          <t>Casa</t>
        </is>
      </c>
      <c r="F399" t="inlineStr">
        <is>
          <t>Jardim Montreal · Rua Pioneiro Rodolfo Pinheiro Lima</t>
        </is>
      </c>
      <c r="G399" t="n">
        <v>99</v>
      </c>
      <c r="H399" t="n">
        <v>3</v>
      </c>
      <c r="K399" t="n">
        <v>2</v>
      </c>
      <c r="L399" t="n">
        <v>390000</v>
      </c>
      <c r="M399" t="inlineStr">
        <is>
          <t>VivaReal | id:2893987779</t>
        </is>
      </c>
      <c r="N399" t="inlineStr">
        <is>
          <t>Venda</t>
        </is>
      </c>
    </row>
    <row r="400">
      <c r="A400" t="inlineStr">
        <is>
          <t>2026-06-28</t>
        </is>
      </c>
      <c r="B400" t="inlineStr">
        <is>
          <t>vivareal.com.br</t>
        </is>
      </c>
      <c r="C400" t="inlineStr">
        <is>
          <t>VivaReal</t>
        </is>
      </c>
      <c r="E400" t="inlineStr">
        <is>
          <t>Casa</t>
        </is>
      </c>
      <c r="F400" t="inlineStr">
        <is>
          <t>Jardim Três Lagoas · Rua Henri Jean Viana Júnior</t>
        </is>
      </c>
      <c r="G400" t="n">
        <v>84</v>
      </c>
      <c r="H400" t="n">
        <v>3</v>
      </c>
      <c r="K400" t="n">
        <v>2</v>
      </c>
      <c r="L400" t="n">
        <v>480000</v>
      </c>
      <c r="M400" t="inlineStr">
        <is>
          <t>VivaReal | id:2850925323</t>
        </is>
      </c>
      <c r="N400" t="inlineStr">
        <is>
          <t>Venda</t>
        </is>
      </c>
    </row>
    <row r="401">
      <c r="A401" t="inlineStr">
        <is>
          <t>2026-06-28</t>
        </is>
      </c>
      <c r="B401" t="inlineStr">
        <is>
          <t>vivareal.com.br</t>
        </is>
      </c>
      <c r="C401" t="inlineStr">
        <is>
          <t>VivaReal</t>
        </is>
      </c>
      <c r="E401" t="inlineStr">
        <is>
          <t>Casa</t>
        </is>
      </c>
      <c r="F401" t="inlineStr">
        <is>
          <t>Jardim Santa Alice · Rua Carlos Cândido</t>
        </is>
      </c>
      <c r="G401" t="n">
        <v>100</v>
      </c>
      <c r="H401" t="n">
        <v>3</v>
      </c>
      <c r="K401" t="n">
        <v>2</v>
      </c>
      <c r="L401" t="n">
        <v>495000</v>
      </c>
      <c r="M401" t="inlineStr">
        <is>
          <t>VivaReal | id:2884811074</t>
        </is>
      </c>
      <c r="N401" t="inlineStr">
        <is>
          <t>Venda</t>
        </is>
      </c>
    </row>
    <row r="402">
      <c r="A402" t="inlineStr">
        <is>
          <t>2026-06-28</t>
        </is>
      </c>
      <c r="B402" t="inlineStr">
        <is>
          <t>vivareal.com.br</t>
        </is>
      </c>
      <c r="C402" t="inlineStr">
        <is>
          <t>VivaReal</t>
        </is>
      </c>
      <c r="E402" t="inlineStr">
        <is>
          <t>Apartamento</t>
        </is>
      </c>
      <c r="F402" t="inlineStr">
        <is>
          <t>Loteamento Sumaré · Rua Pioneira Maria Aparecida Araújo de Siqueira</t>
        </is>
      </c>
      <c r="G402" t="n">
        <v>46</v>
      </c>
      <c r="H402" t="n">
        <v>2</v>
      </c>
      <c r="K402" t="n">
        <v>1</v>
      </c>
      <c r="L402" t="n">
        <v>215000</v>
      </c>
      <c r="M402" t="inlineStr">
        <is>
          <t>VivaReal | id:2872780496</t>
        </is>
      </c>
      <c r="N402" t="inlineStr">
        <is>
          <t>Venda</t>
        </is>
      </c>
    </row>
    <row r="403">
      <c r="A403" t="inlineStr">
        <is>
          <t>2026-06-28</t>
        </is>
      </c>
      <c r="B403" t="inlineStr">
        <is>
          <t>vivareal.com.br</t>
        </is>
      </c>
      <c r="C403" t="inlineStr">
        <is>
          <t>VivaReal</t>
        </is>
      </c>
      <c r="E403" t="inlineStr">
        <is>
          <t>Casa</t>
        </is>
      </c>
      <c r="F403" t="inlineStr">
        <is>
          <t>Jardim Oásis · Rua Rio Guaíba</t>
        </is>
      </c>
      <c r="G403" t="n">
        <v>100</v>
      </c>
      <c r="H403" t="n">
        <v>3</v>
      </c>
      <c r="K403" t="n">
        <v>2</v>
      </c>
      <c r="L403" t="n">
        <v>530000</v>
      </c>
      <c r="M403" t="inlineStr">
        <is>
          <t>VivaReal | id:2886952315</t>
        </is>
      </c>
      <c r="N403" t="inlineStr">
        <is>
          <t>Venda</t>
        </is>
      </c>
    </row>
    <row r="404">
      <c r="A404" t="inlineStr">
        <is>
          <t>2026-06-28</t>
        </is>
      </c>
      <c r="B404" t="inlineStr">
        <is>
          <t>vivareal.com.br</t>
        </is>
      </c>
      <c r="C404" t="inlineStr">
        <is>
          <t>VivaReal</t>
        </is>
      </c>
      <c r="E404" t="inlineStr">
        <is>
          <t>Apartamento</t>
        </is>
      </c>
      <c r="F404" t="inlineStr">
        <is>
          <t>Zona 07 · Rua Benjamin Constant</t>
        </is>
      </c>
      <c r="G404" t="n">
        <v>65</v>
      </c>
      <c r="H404" t="n">
        <v>2</v>
      </c>
      <c r="K404" t="n">
        <v>1</v>
      </c>
      <c r="L404" t="n">
        <v>470000</v>
      </c>
      <c r="M404" t="inlineStr">
        <is>
          <t>VivaReal | id:2729660849</t>
        </is>
      </c>
      <c r="N404" t="inlineStr">
        <is>
          <t>Venda</t>
        </is>
      </c>
    </row>
    <row r="405">
      <c r="A405" t="inlineStr">
        <is>
          <t>2026-06-28</t>
        </is>
      </c>
      <c r="B405" t="inlineStr">
        <is>
          <t>vivareal.com.br</t>
        </is>
      </c>
      <c r="C405" t="inlineStr">
        <is>
          <t>VivaReal</t>
        </is>
      </c>
      <c r="E405" t="inlineStr">
        <is>
          <t>Apartamento</t>
        </is>
      </c>
      <c r="F405" t="inlineStr">
        <is>
          <t>Jardim Alvorada · Rua Vítor do Amaral</t>
        </is>
      </c>
      <c r="G405" t="n">
        <v>46</v>
      </c>
      <c r="H405" t="n">
        <v>2</v>
      </c>
      <c r="K405" t="n">
        <v>1</v>
      </c>
      <c r="L405" t="n">
        <v>260000</v>
      </c>
      <c r="M405" t="inlineStr">
        <is>
          <t>VivaReal | id:2892362173</t>
        </is>
      </c>
      <c r="N405" t="inlineStr">
        <is>
          <t>Venda</t>
        </is>
      </c>
    </row>
    <row r="406">
      <c r="A406" t="inlineStr">
        <is>
          <t>2026-06-28</t>
        </is>
      </c>
      <c r="B406" t="inlineStr">
        <is>
          <t>vivareal.com.br</t>
        </is>
      </c>
      <c r="C406" t="inlineStr">
        <is>
          <t>VivaReal</t>
        </is>
      </c>
      <c r="E406" t="inlineStr">
        <is>
          <t>Terreno</t>
        </is>
      </c>
      <c r="F406" t="inlineStr">
        <is>
          <t>Jardim Diamante · Rua Hilda Matheus Afonso</t>
        </is>
      </c>
      <c r="G406" t="n">
        <v>150</v>
      </c>
      <c r="L406" t="n">
        <v>180000</v>
      </c>
      <c r="M406" t="inlineStr">
        <is>
          <t>VivaReal | id:2858574300</t>
        </is>
      </c>
      <c r="N406" t="inlineStr">
        <is>
          <t>Venda</t>
        </is>
      </c>
    </row>
    <row r="407">
      <c r="A407" t="inlineStr">
        <is>
          <t>2026-06-28</t>
        </is>
      </c>
      <c r="B407" t="inlineStr">
        <is>
          <t>vivareal.com.br</t>
        </is>
      </c>
      <c r="C407" t="inlineStr">
        <is>
          <t>VivaReal</t>
        </is>
      </c>
      <c r="E407" t="inlineStr">
        <is>
          <t>Terreno</t>
        </is>
      </c>
      <c r="F407" t="inlineStr">
        <is>
          <t>Jardim Paulista IV · Rua Pioneiro Joaquim Pedro de Oliveira</t>
        </is>
      </c>
      <c r="G407" t="n">
        <v>417</v>
      </c>
      <c r="L407" t="n">
        <v>310000</v>
      </c>
      <c r="M407" t="inlineStr">
        <is>
          <t>VivaReal | id:2889813499</t>
        </is>
      </c>
      <c r="N407" t="inlineStr">
        <is>
          <t>Venda</t>
        </is>
      </c>
    </row>
    <row r="408">
      <c r="A408" t="inlineStr">
        <is>
          <t>2026-06-28</t>
        </is>
      </c>
      <c r="B408" t="inlineStr">
        <is>
          <t>vivareal.com.br</t>
        </is>
      </c>
      <c r="C408" t="inlineStr">
        <is>
          <t>VivaReal</t>
        </is>
      </c>
      <c r="E408" t="inlineStr">
        <is>
          <t>Casa</t>
        </is>
      </c>
      <c r="F408" t="inlineStr">
        <is>
          <t>Ebenezer · Rua Pioneiro Bruno Bluthgen</t>
        </is>
      </c>
      <c r="G408" t="n">
        <v>86</v>
      </c>
      <c r="H408" t="n">
        <v>3</v>
      </c>
      <c r="K408" t="n">
        <v>4</v>
      </c>
      <c r="L408" t="n">
        <v>450000</v>
      </c>
      <c r="M408" t="inlineStr">
        <is>
          <t>VivaReal | id:2872778339</t>
        </is>
      </c>
      <c r="N408" t="inlineStr">
        <is>
          <t>Venda</t>
        </is>
      </c>
    </row>
    <row r="409">
      <c r="A409" t="inlineStr">
        <is>
          <t>2026-06-28</t>
        </is>
      </c>
      <c r="B409" t="inlineStr">
        <is>
          <t>vivareal.com.br</t>
        </is>
      </c>
      <c r="C409" t="inlineStr">
        <is>
          <t>VivaReal</t>
        </is>
      </c>
      <c r="E409" t="inlineStr">
        <is>
          <t>Casa</t>
        </is>
      </c>
      <c r="F409" t="inlineStr">
        <is>
          <t>Conjunto Habitacional Requião · Rua Amélia Henrique</t>
        </is>
      </c>
      <c r="G409" t="n">
        <v>82</v>
      </c>
      <c r="H409" t="n">
        <v>3</v>
      </c>
      <c r="K409" t="n">
        <v>2</v>
      </c>
      <c r="L409" t="n">
        <v>430000</v>
      </c>
      <c r="M409" t="inlineStr">
        <is>
          <t>VivaReal | id:2860863061</t>
        </is>
      </c>
      <c r="N409" t="inlineStr">
        <is>
          <t>Venda</t>
        </is>
      </c>
    </row>
    <row r="410">
      <c r="A410" t="inlineStr">
        <is>
          <t>2026-06-28</t>
        </is>
      </c>
      <c r="B410" t="inlineStr">
        <is>
          <t>vivareal.com.br</t>
        </is>
      </c>
      <c r="C410" t="inlineStr">
        <is>
          <t>VivaReal</t>
        </is>
      </c>
      <c r="E410" t="inlineStr">
        <is>
          <t>Casa</t>
        </is>
      </c>
      <c r="F410" t="inlineStr">
        <is>
          <t>Copacabana Residencial · Rua Pioneiro Affonso Rosa Lobato</t>
        </is>
      </c>
      <c r="G410" t="n">
        <v>122</v>
      </c>
      <c r="H410" t="n">
        <v>3</v>
      </c>
      <c r="K410" t="n">
        <v>2</v>
      </c>
      <c r="L410" t="n">
        <v>589000</v>
      </c>
      <c r="M410" t="inlineStr">
        <is>
          <t>VivaReal | id:2894643698</t>
        </is>
      </c>
      <c r="N410" t="inlineStr">
        <is>
          <t>Venda</t>
        </is>
      </c>
    </row>
    <row r="411">
      <c r="A411" t="inlineStr">
        <is>
          <t>2026-06-28</t>
        </is>
      </c>
      <c r="B411" t="inlineStr">
        <is>
          <t>vivareal.com.br</t>
        </is>
      </c>
      <c r="C411" t="inlineStr">
        <is>
          <t>VivaReal</t>
        </is>
      </c>
      <c r="E411" t="inlineStr">
        <is>
          <t>Terreno</t>
        </is>
      </c>
      <c r="F411" t="inlineStr">
        <is>
          <t>Jardim Hanover · Rua Pioneiro Arnaldo Augusto Simões</t>
        </is>
      </c>
      <c r="G411" t="n">
        <v>400</v>
      </c>
      <c r="L411" t="n">
        <v>320000</v>
      </c>
      <c r="M411" t="inlineStr">
        <is>
          <t>VivaReal | id:2872778110</t>
        </is>
      </c>
      <c r="N411" t="inlineStr">
        <is>
          <t>Venda</t>
        </is>
      </c>
    </row>
    <row r="412">
      <c r="A412" t="inlineStr">
        <is>
          <t>2026-06-28</t>
        </is>
      </c>
      <c r="B412" t="inlineStr">
        <is>
          <t>vivareal.com.br</t>
        </is>
      </c>
      <c r="C412" t="inlineStr">
        <is>
          <t>VivaReal</t>
        </is>
      </c>
      <c r="E412" t="inlineStr">
        <is>
          <t>Terreno</t>
        </is>
      </c>
      <c r="F412" t="inlineStr">
        <is>
          <t>Jardim Alvorada · Rua Uruguai</t>
        </is>
      </c>
      <c r="G412" t="n">
        <v>462</v>
      </c>
      <c r="L412" t="n">
        <v>345000</v>
      </c>
      <c r="M412" t="inlineStr">
        <is>
          <t>VivaReal | id:2889627024</t>
        </is>
      </c>
      <c r="N412" t="inlineStr">
        <is>
          <t>Venda</t>
        </is>
      </c>
    </row>
    <row r="413">
      <c r="A413" t="inlineStr">
        <is>
          <t>2026-06-28</t>
        </is>
      </c>
      <c r="B413" t="inlineStr">
        <is>
          <t>vivareal.com.br</t>
        </is>
      </c>
      <c r="C413" t="inlineStr">
        <is>
          <t>VivaReal</t>
        </is>
      </c>
      <c r="E413" t="inlineStr">
        <is>
          <t>Apartamento</t>
        </is>
      </c>
      <c r="F413" t="inlineStr">
        <is>
          <t>Zona 07 · Rua José Clemente</t>
        </is>
      </c>
      <c r="G413" t="n">
        <v>41</v>
      </c>
      <c r="H413" t="n">
        <v>1</v>
      </c>
      <c r="K413" t="n">
        <v>1</v>
      </c>
      <c r="L413" t="n">
        <v>289044</v>
      </c>
      <c r="M413" t="inlineStr">
        <is>
          <t>VivaReal | id:2805819930</t>
        </is>
      </c>
      <c r="N413" t="inlineStr">
        <is>
          <t>Venda</t>
        </is>
      </c>
    </row>
    <row r="414">
      <c r="A414" t="inlineStr">
        <is>
          <t>2026-06-28</t>
        </is>
      </c>
      <c r="B414" t="inlineStr">
        <is>
          <t>vivareal.com.br</t>
        </is>
      </c>
      <c r="C414" t="inlineStr">
        <is>
          <t>VivaReal</t>
        </is>
      </c>
      <c r="E414" t="inlineStr">
        <is>
          <t>Terreno</t>
        </is>
      </c>
      <c r="F414" t="inlineStr">
        <is>
          <t>Conjunto Habitacional Requião · Rua Arlindo Urgnani</t>
        </is>
      </c>
      <c r="G414" t="n">
        <v>400</v>
      </c>
      <c r="L414" t="n">
        <v>329091</v>
      </c>
      <c r="M414" t="inlineStr">
        <is>
          <t>VivaReal | id:2811811827</t>
        </is>
      </c>
      <c r="N414" t="inlineStr">
        <is>
          <t>Venda</t>
        </is>
      </c>
    </row>
    <row r="415">
      <c r="A415" t="inlineStr">
        <is>
          <t>2026-06-28</t>
        </is>
      </c>
      <c r="B415" t="inlineStr">
        <is>
          <t>vivareal.com.br</t>
        </is>
      </c>
      <c r="C415" t="inlineStr">
        <is>
          <t>VivaReal</t>
        </is>
      </c>
      <c r="E415" t="inlineStr">
        <is>
          <t>Terreno</t>
        </is>
      </c>
      <c r="F415" t="inlineStr">
        <is>
          <t>Jardim Munique · Rua Goro Shima</t>
        </is>
      </c>
      <c r="G415" t="n">
        <v>363</v>
      </c>
      <c r="L415" t="n">
        <v>369000</v>
      </c>
      <c r="M415" t="inlineStr">
        <is>
          <t>VivaReal | id:2822708061</t>
        </is>
      </c>
      <c r="N415" t="inlineStr">
        <is>
          <t>Venda</t>
        </is>
      </c>
    </row>
    <row r="416">
      <c r="A416" t="inlineStr">
        <is>
          <t>2026-06-28</t>
        </is>
      </c>
      <c r="B416" t="inlineStr">
        <is>
          <t>vivareal.com.br</t>
        </is>
      </c>
      <c r="C416" t="inlineStr">
        <is>
          <t>VivaReal</t>
        </is>
      </c>
      <c r="E416" t="inlineStr">
        <is>
          <t>Casa</t>
        </is>
      </c>
      <c r="F416" t="inlineStr">
        <is>
          <t>Copacabana Residencial · Rua Pioneiro Jacob Unt</t>
        </is>
      </c>
      <c r="G416" t="n">
        <v>59</v>
      </c>
      <c r="H416" t="n">
        <v>2</v>
      </c>
      <c r="K416" t="n">
        <v>5</v>
      </c>
      <c r="L416" t="n">
        <v>280000</v>
      </c>
      <c r="M416" t="inlineStr">
        <is>
          <t>VivaReal | id:2866594791</t>
        </is>
      </c>
      <c r="N416" t="inlineStr">
        <is>
          <t>Venda</t>
        </is>
      </c>
    </row>
    <row r="417">
      <c r="A417" t="inlineStr">
        <is>
          <t>2026-06-28</t>
        </is>
      </c>
      <c r="B417" t="inlineStr">
        <is>
          <t>vivareal.com.br</t>
        </is>
      </c>
      <c r="C417" t="inlineStr">
        <is>
          <t>VivaReal</t>
        </is>
      </c>
      <c r="E417" t="inlineStr">
        <is>
          <t>Casa</t>
        </is>
      </c>
      <c r="F417" t="inlineStr">
        <is>
          <t>Vila Marumby · Rua Pioneiro Alberto Biazon</t>
        </is>
      </c>
      <c r="G417" t="n">
        <v>131</v>
      </c>
      <c r="H417" t="n">
        <v>3</v>
      </c>
      <c r="K417" t="n">
        <v>4</v>
      </c>
      <c r="L417" t="n">
        <v>490000</v>
      </c>
      <c r="M417" t="inlineStr">
        <is>
          <t>VivaReal | id:2868921576</t>
        </is>
      </c>
      <c r="N417" t="inlineStr">
        <is>
          <t>Venda</t>
        </is>
      </c>
    </row>
    <row r="418">
      <c r="A418" t="inlineStr">
        <is>
          <t>2026-06-28</t>
        </is>
      </c>
      <c r="B418" t="inlineStr">
        <is>
          <t>vivareal.com.br</t>
        </is>
      </c>
      <c r="C418" t="inlineStr">
        <is>
          <t>VivaReal</t>
        </is>
      </c>
      <c r="E418" t="inlineStr">
        <is>
          <t>Terreno</t>
        </is>
      </c>
      <c r="F418" t="inlineStr">
        <is>
          <t>Vila Progresso · Rua José Barão Neto</t>
        </is>
      </c>
      <c r="G418" t="n">
        <v>1116</v>
      </c>
      <c r="L418" t="n">
        <v>780000</v>
      </c>
      <c r="M418" t="inlineStr">
        <is>
          <t>VivaReal | id:2872778697</t>
        </is>
      </c>
      <c r="N418" t="inlineStr">
        <is>
          <t>Venda</t>
        </is>
      </c>
    </row>
    <row r="419">
      <c r="A419" t="inlineStr">
        <is>
          <t>2026-06-28</t>
        </is>
      </c>
      <c r="B419" t="inlineStr">
        <is>
          <t>vivareal.com.br</t>
        </is>
      </c>
      <c r="C419" t="inlineStr">
        <is>
          <t>VivaReal</t>
        </is>
      </c>
      <c r="E419" t="inlineStr">
        <is>
          <t>Casa</t>
        </is>
      </c>
      <c r="F419" t="inlineStr">
        <is>
          <t>Conjunto Residencial Dona Angelina (Iguatemi) · Rua Santa Helena</t>
        </is>
      </c>
      <c r="G419" t="n">
        <v>110</v>
      </c>
      <c r="H419" t="n">
        <v>4</v>
      </c>
      <c r="K419" t="n">
        <v>2</v>
      </c>
      <c r="L419" t="n">
        <v>315000</v>
      </c>
      <c r="M419" t="inlineStr">
        <is>
          <t>VivaReal | id:2843133067</t>
        </is>
      </c>
      <c r="N419" t="inlineStr">
        <is>
          <t>Venda</t>
        </is>
      </c>
    </row>
    <row r="420">
      <c r="A420" t="inlineStr">
        <is>
          <t>2026-06-28</t>
        </is>
      </c>
      <c r="B420" t="inlineStr">
        <is>
          <t>vivareal.com.br</t>
        </is>
      </c>
      <c r="C420" t="inlineStr">
        <is>
          <t>VivaReal</t>
        </is>
      </c>
      <c r="E420" t="inlineStr">
        <is>
          <t>Casa</t>
        </is>
      </c>
      <c r="F420" t="inlineStr">
        <is>
          <t>Jardim Colina Verde · Rua Elionildo Dena</t>
        </is>
      </c>
      <c r="G420" t="n">
        <v>90</v>
      </c>
      <c r="H420" t="n">
        <v>3</v>
      </c>
      <c r="K420" t="n">
        <v>1</v>
      </c>
      <c r="L420" t="n">
        <v>480000</v>
      </c>
      <c r="M420" t="inlineStr">
        <is>
          <t>VivaReal | id:2879896759</t>
        </is>
      </c>
      <c r="N420" t="inlineStr">
        <is>
          <t>Venda</t>
        </is>
      </c>
    </row>
    <row r="421">
      <c r="A421" t="inlineStr">
        <is>
          <t>2026-06-28</t>
        </is>
      </c>
      <c r="B421" t="inlineStr">
        <is>
          <t>vivareal.com.br</t>
        </is>
      </c>
      <c r="C421" t="inlineStr">
        <is>
          <t>VivaReal</t>
        </is>
      </c>
      <c r="E421" t="inlineStr">
        <is>
          <t>Casa</t>
        </is>
      </c>
      <c r="F421" t="inlineStr">
        <is>
          <t>Jardim Olímpico · Rua Garça</t>
        </is>
      </c>
      <c r="G421" t="n">
        <v>104</v>
      </c>
      <c r="H421" t="n">
        <v>3</v>
      </c>
      <c r="K421" t="n">
        <v>2</v>
      </c>
      <c r="L421" t="n">
        <v>480000</v>
      </c>
      <c r="M421" t="inlineStr">
        <is>
          <t>VivaReal | id:2886545595</t>
        </is>
      </c>
      <c r="N421" t="inlineStr">
        <is>
          <t>Venda</t>
        </is>
      </c>
    </row>
    <row r="422">
      <c r="A422" t="inlineStr">
        <is>
          <t>2026-06-28</t>
        </is>
      </c>
      <c r="B422" t="inlineStr">
        <is>
          <t>vivareal.com.br</t>
        </is>
      </c>
      <c r="C422" t="inlineStr">
        <is>
          <t>VivaReal</t>
        </is>
      </c>
      <c r="E422" t="inlineStr">
        <is>
          <t>Casa</t>
        </is>
      </c>
      <c r="F422" t="inlineStr">
        <is>
          <t>Jardim Real · Rua Ônix</t>
        </is>
      </c>
      <c r="G422" t="n">
        <v>97</v>
      </c>
      <c r="H422" t="n">
        <v>3</v>
      </c>
      <c r="L422" t="n">
        <v>590000</v>
      </c>
      <c r="M422" t="inlineStr">
        <is>
          <t>VivaReal | id:2883086376</t>
        </is>
      </c>
      <c r="N422" t="inlineStr">
        <is>
          <t>Venda</t>
        </is>
      </c>
    </row>
    <row r="423">
      <c r="A423" t="inlineStr">
        <is>
          <t>2026-06-28</t>
        </is>
      </c>
      <c r="B423" t="inlineStr">
        <is>
          <t>vivareal.com.br</t>
        </is>
      </c>
      <c r="C423" t="inlineStr">
        <is>
          <t>VivaReal</t>
        </is>
      </c>
      <c r="E423" t="inlineStr">
        <is>
          <t>Casa</t>
        </is>
      </c>
      <c r="F423" t="inlineStr">
        <is>
          <t>Jardim Campos Elísios · Rua Rio Solimões</t>
        </is>
      </c>
      <c r="G423" t="n">
        <v>80</v>
      </c>
      <c r="H423" t="n">
        <v>3</v>
      </c>
      <c r="K423" t="n">
        <v>2</v>
      </c>
      <c r="L423" t="n">
        <v>420000</v>
      </c>
      <c r="M423" t="inlineStr">
        <is>
          <t>VivaReal | id:2878940491</t>
        </is>
      </c>
      <c r="N423" t="inlineStr">
        <is>
          <t>Venda</t>
        </is>
      </c>
    </row>
    <row r="424">
      <c r="A424" t="inlineStr">
        <is>
          <t>2026-06-28</t>
        </is>
      </c>
      <c r="B424" t="inlineStr">
        <is>
          <t>vivareal.com.br</t>
        </is>
      </c>
      <c r="C424" t="inlineStr">
        <is>
          <t>VivaReal</t>
        </is>
      </c>
      <c r="E424" t="inlineStr">
        <is>
          <t>Casa</t>
        </is>
      </c>
      <c r="F424" t="inlineStr">
        <is>
          <t>Parque das Grevíleas 3ª parte · Rua Peroíbe</t>
        </is>
      </c>
      <c r="G424" t="n">
        <v>116</v>
      </c>
      <c r="H424" t="n">
        <v>3</v>
      </c>
      <c r="K424" t="n">
        <v>1</v>
      </c>
      <c r="L424" t="n">
        <v>420000</v>
      </c>
      <c r="M424" t="inlineStr">
        <is>
          <t>VivaReal | id:2843135922</t>
        </is>
      </c>
      <c r="N424" t="inlineStr">
        <is>
          <t>Venda</t>
        </is>
      </c>
    </row>
    <row r="425">
      <c r="A425" t="inlineStr">
        <is>
          <t>2026-06-28</t>
        </is>
      </c>
      <c r="B425" t="inlineStr">
        <is>
          <t>vivareal.com.br</t>
        </is>
      </c>
      <c r="C425" t="inlineStr">
        <is>
          <t>VivaReal</t>
        </is>
      </c>
      <c r="E425" t="inlineStr">
        <is>
          <t>Terreno</t>
        </is>
      </c>
      <c r="F425" t="inlineStr">
        <is>
          <t>Jardim Império do Sol · Rua Pioneiro José Leal</t>
        </is>
      </c>
      <c r="G425" t="n">
        <v>195</v>
      </c>
      <c r="L425" t="n">
        <v>172000</v>
      </c>
      <c r="M425" t="inlineStr">
        <is>
          <t>VivaReal | id:2821101312</t>
        </is>
      </c>
      <c r="N425" t="inlineStr">
        <is>
          <t>Venda</t>
        </is>
      </c>
    </row>
    <row r="426">
      <c r="A426" t="inlineStr">
        <is>
          <t>2026-06-28</t>
        </is>
      </c>
      <c r="B426" t="inlineStr">
        <is>
          <t>vivareal.com.br</t>
        </is>
      </c>
      <c r="C426" t="inlineStr">
        <is>
          <t>VivaReal</t>
        </is>
      </c>
      <c r="E426" t="inlineStr">
        <is>
          <t>Casa</t>
        </is>
      </c>
      <c r="F426" t="inlineStr">
        <is>
          <t>Conjunto Habitacional João de Barro Thaís · Rua Luiz Alberto Favoreto</t>
        </is>
      </c>
      <c r="G426" t="n">
        <v>190</v>
      </c>
      <c r="H426" t="n">
        <v>3</v>
      </c>
      <c r="K426" t="n">
        <v>5</v>
      </c>
      <c r="L426" t="n">
        <v>550000</v>
      </c>
      <c r="M426" t="inlineStr">
        <is>
          <t>VivaReal | id:2790624859</t>
        </is>
      </c>
      <c r="N426" t="inlineStr">
        <is>
          <t>Venda</t>
        </is>
      </c>
    </row>
    <row r="427">
      <c r="A427" t="inlineStr">
        <is>
          <t>2026-06-28</t>
        </is>
      </c>
      <c r="B427" t="inlineStr">
        <is>
          <t>vivareal.com.br</t>
        </is>
      </c>
      <c r="C427" t="inlineStr">
        <is>
          <t>VivaReal</t>
        </is>
      </c>
      <c r="E427" t="inlineStr">
        <is>
          <t>Terreno</t>
        </is>
      </c>
      <c r="F427" t="inlineStr">
        <is>
          <t>Vila Esperança · Rua Pirapó</t>
        </is>
      </c>
      <c r="G427" t="n">
        <v>257</v>
      </c>
      <c r="L427" t="n">
        <v>350000</v>
      </c>
      <c r="M427" t="inlineStr">
        <is>
          <t>VivaReal | id:2888012184</t>
        </is>
      </c>
      <c r="N427" t="inlineStr">
        <is>
          <t>Venda</t>
        </is>
      </c>
    </row>
    <row r="428">
      <c r="A428" t="inlineStr">
        <is>
          <t>2026-06-28</t>
        </is>
      </c>
      <c r="B428" t="inlineStr">
        <is>
          <t>vivareal.com.br</t>
        </is>
      </c>
      <c r="C428" t="inlineStr">
        <is>
          <t>VivaReal</t>
        </is>
      </c>
      <c r="E428" t="inlineStr">
        <is>
          <t>Apartamento</t>
        </is>
      </c>
      <c r="F428" t="inlineStr">
        <is>
          <t>Zona 07 · Rua Rui Barbosa</t>
        </is>
      </c>
      <c r="G428" t="n">
        <v>60</v>
      </c>
      <c r="H428" t="n">
        <v>2</v>
      </c>
      <c r="K428" t="n">
        <v>1</v>
      </c>
      <c r="L428" t="n">
        <v>420000</v>
      </c>
      <c r="M428" t="inlineStr">
        <is>
          <t>VivaReal | id:2886053377</t>
        </is>
      </c>
      <c r="N428" t="inlineStr">
        <is>
          <t>Venda</t>
        </is>
      </c>
    </row>
    <row r="429">
      <c r="A429" t="inlineStr">
        <is>
          <t>2026-06-28</t>
        </is>
      </c>
      <c r="B429" t="inlineStr">
        <is>
          <t>vivareal.com.br</t>
        </is>
      </c>
      <c r="C429" t="inlineStr">
        <is>
          <t>VivaReal</t>
        </is>
      </c>
      <c r="E429" t="inlineStr">
        <is>
          <t>Casa</t>
        </is>
      </c>
      <c r="F429" t="inlineStr">
        <is>
          <t>Vila Nova · Rua Matinhos</t>
        </is>
      </c>
      <c r="G429" t="n">
        <v>148</v>
      </c>
      <c r="H429" t="n">
        <v>3</v>
      </c>
      <c r="K429" t="n">
        <v>1</v>
      </c>
      <c r="L429" t="n">
        <v>420000</v>
      </c>
      <c r="M429" t="inlineStr">
        <is>
          <t>VivaReal | id:2893708210</t>
        </is>
      </c>
      <c r="N429" t="inlineStr">
        <is>
          <t>Venda</t>
        </is>
      </c>
    </row>
    <row r="430">
      <c r="A430" t="inlineStr">
        <is>
          <t>2026-06-28</t>
        </is>
      </c>
      <c r="B430" t="inlineStr">
        <is>
          <t>vivareal.com.br</t>
        </is>
      </c>
      <c r="C430" t="inlineStr">
        <is>
          <t>VivaReal</t>
        </is>
      </c>
      <c r="E430" t="inlineStr">
        <is>
          <t>Terreno</t>
        </is>
      </c>
      <c r="F430" t="inlineStr">
        <is>
          <t>Jardim Michelangelo · Rua Nelson de Britto</t>
        </is>
      </c>
      <c r="G430" t="n">
        <v>401</v>
      </c>
      <c r="L430" t="n">
        <v>681122</v>
      </c>
      <c r="M430" t="inlineStr">
        <is>
          <t>VivaReal | id:2892312127</t>
        </is>
      </c>
      <c r="N430" t="inlineStr">
        <is>
          <t>Venda</t>
        </is>
      </c>
    </row>
    <row r="431">
      <c r="A431" t="inlineStr">
        <is>
          <t>2026-06-28</t>
        </is>
      </c>
      <c r="B431" t="inlineStr">
        <is>
          <t>vivareal.com.br</t>
        </is>
      </c>
      <c r="C431" t="inlineStr">
        <is>
          <t>VivaReal</t>
        </is>
      </c>
      <c r="E431" t="inlineStr">
        <is>
          <t>Terreno</t>
        </is>
      </c>
      <c r="F431" t="inlineStr">
        <is>
          <t>Jardim Colina Verde · Rua Adelina de França Viana</t>
        </is>
      </c>
      <c r="G431" t="n">
        <v>120</v>
      </c>
      <c r="L431" t="n">
        <v>429000</v>
      </c>
      <c r="M431" t="inlineStr">
        <is>
          <t>VivaReal | id:2874825388</t>
        </is>
      </c>
      <c r="N431" t="inlineStr">
        <is>
          <t>Venda</t>
        </is>
      </c>
    </row>
    <row r="432">
      <c r="A432" t="inlineStr">
        <is>
          <t>2026-06-28</t>
        </is>
      </c>
      <c r="B432" t="inlineStr">
        <is>
          <t>vivareal.com.br</t>
        </is>
      </c>
      <c r="C432" t="inlineStr">
        <is>
          <t>VivaReal</t>
        </is>
      </c>
      <c r="E432" t="inlineStr">
        <is>
          <t>Sobrado</t>
        </is>
      </c>
      <c r="F432" t="inlineStr">
        <is>
          <t>Jardim América · Rua Professor Jailton Saraiva</t>
        </is>
      </c>
      <c r="G432" t="n">
        <v>350</v>
      </c>
      <c r="H432" t="n">
        <v>3</v>
      </c>
      <c r="K432" t="n">
        <v>7</v>
      </c>
      <c r="L432" t="n">
        <v>1200000</v>
      </c>
      <c r="M432" t="inlineStr">
        <is>
          <t>VivaReal | id:2886488403</t>
        </is>
      </c>
      <c r="N432" t="inlineStr">
        <is>
          <t>Venda</t>
        </is>
      </c>
    </row>
    <row r="433">
      <c r="A433" t="inlineStr">
        <is>
          <t>2026-06-28</t>
        </is>
      </c>
      <c r="B433" t="inlineStr">
        <is>
          <t>vivareal.com.br</t>
        </is>
      </c>
      <c r="C433" t="inlineStr">
        <is>
          <t>VivaReal</t>
        </is>
      </c>
      <c r="E433" t="inlineStr">
        <is>
          <t>Casa</t>
        </is>
      </c>
      <c r="F433" t="inlineStr">
        <is>
          <t>Jardim Olímpico · Rua Quero-quero</t>
        </is>
      </c>
      <c r="G433" t="n">
        <v>198</v>
      </c>
      <c r="H433" t="n">
        <v>3</v>
      </c>
      <c r="K433" t="n">
        <v>2</v>
      </c>
      <c r="L433" t="n">
        <v>590000</v>
      </c>
      <c r="M433" t="inlineStr">
        <is>
          <t>VivaReal | id:2872780802</t>
        </is>
      </c>
      <c r="N433" t="inlineStr">
        <is>
          <t>Venda</t>
        </is>
      </c>
    </row>
    <row r="434">
      <c r="A434" t="inlineStr">
        <is>
          <t>2026-06-28</t>
        </is>
      </c>
      <c r="B434" t="inlineStr">
        <is>
          <t>vivareal.com.br</t>
        </is>
      </c>
      <c r="C434" t="inlineStr">
        <is>
          <t>VivaReal</t>
        </is>
      </c>
      <c r="E434" t="inlineStr">
        <is>
          <t>Casa</t>
        </is>
      </c>
      <c r="F434" t="inlineStr">
        <is>
          <t>Jardim Paulista III · Rua Ana Coronado Marquioto</t>
        </is>
      </c>
      <c r="G434" t="n">
        <v>93</v>
      </c>
      <c r="H434" t="n">
        <v>3</v>
      </c>
      <c r="K434" t="n">
        <v>1</v>
      </c>
      <c r="L434" t="n">
        <v>470000</v>
      </c>
      <c r="M434" t="inlineStr">
        <is>
          <t>VivaReal | id:2885435214</t>
        </is>
      </c>
      <c r="N434" t="inlineStr">
        <is>
          <t>Venda</t>
        </is>
      </c>
    </row>
    <row r="435">
      <c r="A435" t="inlineStr">
        <is>
          <t>2026-06-28</t>
        </is>
      </c>
      <c r="B435" t="inlineStr">
        <is>
          <t>vivareal.com.br</t>
        </is>
      </c>
      <c r="C435" t="inlineStr">
        <is>
          <t>VivaReal</t>
        </is>
      </c>
      <c r="E435" t="inlineStr">
        <is>
          <t>Terreno</t>
        </is>
      </c>
      <c r="F435" t="inlineStr">
        <is>
          <t>Vila Morangueira · Rua Filipinas</t>
        </is>
      </c>
      <c r="G435" t="n">
        <v>193</v>
      </c>
      <c r="L435" t="n">
        <v>1250000</v>
      </c>
      <c r="M435" t="inlineStr">
        <is>
          <t>VivaReal | id:2889249142</t>
        </is>
      </c>
      <c r="N435" t="inlineStr">
        <is>
          <t>Venda</t>
        </is>
      </c>
    </row>
    <row r="436">
      <c r="A436" t="inlineStr">
        <is>
          <t>2026-06-28</t>
        </is>
      </c>
      <c r="B436" t="inlineStr">
        <is>
          <t>vivareal.com.br</t>
        </is>
      </c>
      <c r="C436" t="inlineStr">
        <is>
          <t>VivaReal</t>
        </is>
      </c>
      <c r="E436" t="inlineStr">
        <is>
          <t>Terreno</t>
        </is>
      </c>
      <c r="F436" t="inlineStr">
        <is>
          <t>Jardim Alvorada</t>
        </is>
      </c>
      <c r="G436" t="n">
        <v>3</v>
      </c>
      <c r="L436" t="n">
        <v>600000</v>
      </c>
      <c r="M436" t="inlineStr">
        <is>
          <t>VivaReal | id:2884715659</t>
        </is>
      </c>
      <c r="N436" t="inlineStr">
        <is>
          <t>Venda</t>
        </is>
      </c>
    </row>
    <row r="437">
      <c r="A437" t="inlineStr">
        <is>
          <t>2026-06-28</t>
        </is>
      </c>
      <c r="B437" t="inlineStr">
        <is>
          <t>vivareal.com.br</t>
        </is>
      </c>
      <c r="C437" t="inlineStr">
        <is>
          <t>VivaReal</t>
        </is>
      </c>
      <c r="E437" t="inlineStr">
        <is>
          <t>Apartamento</t>
        </is>
      </c>
      <c r="F437" t="inlineStr">
        <is>
          <t>Jardim Alvorada · Rua Vítor do Amaral</t>
        </is>
      </c>
      <c r="G437" t="n">
        <v>46</v>
      </c>
      <c r="H437" t="n">
        <v>2</v>
      </c>
      <c r="K437" t="n">
        <v>1</v>
      </c>
      <c r="L437" t="n">
        <v>249000</v>
      </c>
      <c r="M437" t="inlineStr">
        <is>
          <t>VivaReal | id:2894542093</t>
        </is>
      </c>
      <c r="N437" t="inlineStr">
        <is>
          <t>Venda</t>
        </is>
      </c>
    </row>
    <row r="438">
      <c r="A438" t="inlineStr">
        <is>
          <t>2026-06-28</t>
        </is>
      </c>
      <c r="B438" t="inlineStr">
        <is>
          <t>vivareal.com.br</t>
        </is>
      </c>
      <c r="C438" t="inlineStr">
        <is>
          <t>VivaReal</t>
        </is>
      </c>
      <c r="E438" t="inlineStr">
        <is>
          <t>Casa</t>
        </is>
      </c>
      <c r="F438" t="inlineStr">
        <is>
          <t>Jardim Munique · Rua Pioneiro Jones Sales Pontes</t>
        </is>
      </c>
      <c r="G438" t="n">
        <v>125</v>
      </c>
      <c r="H438" t="n">
        <v>3</v>
      </c>
      <c r="K438" t="n">
        <v>3</v>
      </c>
      <c r="L438" t="n">
        <v>600000</v>
      </c>
      <c r="M438" t="inlineStr">
        <is>
          <t>VivaReal | id:2843135136</t>
        </is>
      </c>
      <c r="N438" t="inlineStr">
        <is>
          <t>Venda</t>
        </is>
      </c>
    </row>
    <row r="439">
      <c r="A439" t="inlineStr">
        <is>
          <t>2026-06-28</t>
        </is>
      </c>
      <c r="B439" t="inlineStr">
        <is>
          <t>vivareal.com.br</t>
        </is>
      </c>
      <c r="C439" t="inlineStr">
        <is>
          <t>VivaReal</t>
        </is>
      </c>
      <c r="E439" t="inlineStr">
        <is>
          <t>Casa</t>
        </is>
      </c>
      <c r="F439" t="inlineStr">
        <is>
          <t>Jardim Real · Rua Esmeralda</t>
        </is>
      </c>
      <c r="G439" t="n">
        <v>133</v>
      </c>
      <c r="H439" t="n">
        <v>3</v>
      </c>
      <c r="K439" t="n">
        <v>4</v>
      </c>
      <c r="L439" t="n">
        <v>650000</v>
      </c>
      <c r="M439" t="inlineStr">
        <is>
          <t>VivaReal | id:2870034121</t>
        </is>
      </c>
      <c r="N439" t="inlineStr">
        <is>
          <t>Venda</t>
        </is>
      </c>
    </row>
    <row r="440">
      <c r="A440" t="inlineStr">
        <is>
          <t>2026-06-28</t>
        </is>
      </c>
      <c r="B440" t="inlineStr">
        <is>
          <t>vivareal.com.br</t>
        </is>
      </c>
      <c r="C440" t="inlineStr">
        <is>
          <t>VivaReal</t>
        </is>
      </c>
      <c r="E440" t="inlineStr">
        <is>
          <t>Casa</t>
        </is>
      </c>
      <c r="F440" t="inlineStr">
        <is>
          <t>Jardim América · Rua Auto Curti</t>
        </is>
      </c>
      <c r="G440" t="n">
        <v>100</v>
      </c>
      <c r="H440" t="n">
        <v>3</v>
      </c>
      <c r="K440" t="n">
        <v>2</v>
      </c>
      <c r="L440" t="n">
        <v>370000</v>
      </c>
      <c r="M440" t="inlineStr">
        <is>
          <t>VivaReal | id:2874277479</t>
        </is>
      </c>
      <c r="N440" t="inlineStr">
        <is>
          <t>Venda</t>
        </is>
      </c>
    </row>
    <row r="441">
      <c r="A441" t="inlineStr">
        <is>
          <t>2026-06-28</t>
        </is>
      </c>
      <c r="B441" t="inlineStr">
        <is>
          <t>vivareal.com.br</t>
        </is>
      </c>
      <c r="C441" t="inlineStr">
        <is>
          <t>VivaReal</t>
        </is>
      </c>
      <c r="E441" t="inlineStr">
        <is>
          <t>Terreno</t>
        </is>
      </c>
      <c r="F441" t="inlineStr">
        <is>
          <t>Jardim Universo · Avenida Prefeito Sincler Sambatti</t>
        </is>
      </c>
      <c r="G441" t="n">
        <v>400</v>
      </c>
      <c r="L441" t="n">
        <v>320000</v>
      </c>
      <c r="M441" t="inlineStr">
        <is>
          <t>VivaReal | id:2881305074</t>
        </is>
      </c>
      <c r="N441" t="inlineStr">
        <is>
          <t>Venda</t>
        </is>
      </c>
    </row>
    <row r="442">
      <c r="A442" t="inlineStr">
        <is>
          <t>2026-06-28</t>
        </is>
      </c>
      <c r="B442" t="inlineStr">
        <is>
          <t>vivareal.com.br</t>
        </is>
      </c>
      <c r="C442" t="inlineStr">
        <is>
          <t>VivaReal</t>
        </is>
      </c>
      <c r="E442" t="inlineStr">
        <is>
          <t>Casa</t>
        </is>
      </c>
      <c r="F442" t="inlineStr">
        <is>
          <t>Loteamento Grajaú · Rua Pioneiro João Calvi</t>
        </is>
      </c>
      <c r="G442" t="n">
        <v>84</v>
      </c>
      <c r="H442" t="n">
        <v>4</v>
      </c>
      <c r="K442" t="n">
        <v>3</v>
      </c>
      <c r="L442" t="n">
        <v>435000</v>
      </c>
      <c r="M442" t="inlineStr">
        <is>
          <t>VivaReal | id:2884574581</t>
        </is>
      </c>
      <c r="N442" t="inlineStr">
        <is>
          <t>Venda</t>
        </is>
      </c>
    </row>
    <row r="443">
      <c r="A443" t="inlineStr">
        <is>
          <t>2026-06-28</t>
        </is>
      </c>
      <c r="B443" t="inlineStr">
        <is>
          <t>vivareal.com.br</t>
        </is>
      </c>
      <c r="C443" t="inlineStr">
        <is>
          <t>VivaReal</t>
        </is>
      </c>
      <c r="E443" t="inlineStr">
        <is>
          <t>Casa</t>
        </is>
      </c>
      <c r="F443" t="inlineStr">
        <is>
          <t>Parque das Grevíleas 3ª parte · Rua José Iba</t>
        </is>
      </c>
      <c r="G443" t="n">
        <v>146</v>
      </c>
      <c r="H443" t="n">
        <v>4</v>
      </c>
      <c r="K443" t="n">
        <v>4</v>
      </c>
      <c r="L443" t="n">
        <v>498000</v>
      </c>
      <c r="M443" t="inlineStr">
        <is>
          <t>VivaReal | id:2812714813</t>
        </is>
      </c>
      <c r="N443" t="inlineStr">
        <is>
          <t>Venda</t>
        </is>
      </c>
    </row>
    <row r="444">
      <c r="A444" t="inlineStr">
        <is>
          <t>2026-06-28</t>
        </is>
      </c>
      <c r="B444" t="inlineStr">
        <is>
          <t>vivareal.com.br</t>
        </is>
      </c>
      <c r="C444" t="inlineStr">
        <is>
          <t>VivaReal</t>
        </is>
      </c>
      <c r="E444" t="inlineStr">
        <is>
          <t>Casa</t>
        </is>
      </c>
      <c r="F444" t="inlineStr">
        <is>
          <t>Jardim Paulista · Rua Pioneiro João Nunes</t>
        </is>
      </c>
      <c r="G444" t="n">
        <v>94</v>
      </c>
      <c r="H444" t="n">
        <v>3</v>
      </c>
      <c r="K444" t="n">
        <v>2</v>
      </c>
      <c r="L444" t="n">
        <v>380000</v>
      </c>
      <c r="M444" t="inlineStr">
        <is>
          <t>VivaReal | id:2881304680</t>
        </is>
      </c>
      <c r="N444" t="inlineStr">
        <is>
          <t>Venda</t>
        </is>
      </c>
    </row>
    <row r="445">
      <c r="A445" t="inlineStr">
        <is>
          <t>2026-06-28</t>
        </is>
      </c>
      <c r="B445" t="inlineStr">
        <is>
          <t>vivareal.com.br</t>
        </is>
      </c>
      <c r="C445" t="inlineStr">
        <is>
          <t>VivaReal</t>
        </is>
      </c>
      <c r="E445" t="inlineStr">
        <is>
          <t>Casa</t>
        </is>
      </c>
      <c r="F445" t="inlineStr">
        <is>
          <t>Recanto dos Magnatas · Rua João Carlos Polo</t>
        </is>
      </c>
      <c r="G445" t="n">
        <v>135</v>
      </c>
      <c r="H445" t="n">
        <v>3</v>
      </c>
      <c r="K445" t="n">
        <v>3</v>
      </c>
      <c r="L445" t="n">
        <v>650000</v>
      </c>
      <c r="M445" t="inlineStr">
        <is>
          <t>VivaReal | id:2878369436</t>
        </is>
      </c>
      <c r="N445" t="inlineStr">
        <is>
          <t>Venda</t>
        </is>
      </c>
    </row>
    <row r="446">
      <c r="A446" t="inlineStr">
        <is>
          <t>2026-06-28</t>
        </is>
      </c>
      <c r="B446" t="inlineStr">
        <is>
          <t>vivareal.com.br</t>
        </is>
      </c>
      <c r="C446" t="inlineStr">
        <is>
          <t>VivaReal</t>
        </is>
      </c>
      <c r="E446" t="inlineStr">
        <is>
          <t>Apartamento</t>
        </is>
      </c>
      <c r="F446" t="inlineStr">
        <is>
          <t>Zona 07 · Rua Tietê</t>
        </is>
      </c>
      <c r="G446" t="n">
        <v>55</v>
      </c>
      <c r="H446" t="n">
        <v>1</v>
      </c>
      <c r="K446" t="n">
        <v>1</v>
      </c>
      <c r="L446" t="n">
        <v>240000</v>
      </c>
      <c r="M446" t="inlineStr">
        <is>
          <t>VivaReal | id:2800675614</t>
        </is>
      </c>
      <c r="N446" t="inlineStr">
        <is>
          <t>Venda</t>
        </is>
      </c>
    </row>
    <row r="447">
      <c r="A447" t="inlineStr">
        <is>
          <t>2026-06-28</t>
        </is>
      </c>
      <c r="B447" t="inlineStr">
        <is>
          <t>vivareal.com.br</t>
        </is>
      </c>
      <c r="C447" t="inlineStr">
        <is>
          <t>VivaReal</t>
        </is>
      </c>
      <c r="E447" t="inlineStr">
        <is>
          <t>Terreno</t>
        </is>
      </c>
      <c r="F447" t="inlineStr">
        <is>
          <t>Jardim Paris · Rua Ernesto Volpato</t>
        </is>
      </c>
      <c r="G447" t="n">
        <v>300</v>
      </c>
      <c r="L447" t="n">
        <v>365000</v>
      </c>
      <c r="M447" t="inlineStr">
        <is>
          <t>VivaReal | id:2688537832</t>
        </is>
      </c>
      <c r="N447" t="inlineStr">
        <is>
          <t>Venda</t>
        </is>
      </c>
    </row>
    <row r="448">
      <c r="A448" t="inlineStr">
        <is>
          <t>2026-06-28</t>
        </is>
      </c>
      <c r="B448" t="inlineStr">
        <is>
          <t>vivareal.com.br</t>
        </is>
      </c>
      <c r="C448" t="inlineStr">
        <is>
          <t>VivaReal</t>
        </is>
      </c>
      <c r="E448" t="inlineStr">
        <is>
          <t>Terreno</t>
        </is>
      </c>
      <c r="F448" t="inlineStr">
        <is>
          <t>Jardim Santa Helena · Rua Ágata</t>
        </is>
      </c>
      <c r="G448" t="n">
        <v>344</v>
      </c>
      <c r="L448" t="n">
        <v>380000</v>
      </c>
      <c r="M448" t="inlineStr">
        <is>
          <t>VivaReal | id:2855102420</t>
        </is>
      </c>
      <c r="N448" t="inlineStr">
        <is>
          <t>Venda</t>
        </is>
      </c>
    </row>
    <row r="449">
      <c r="A449" t="inlineStr">
        <is>
          <t>2026-06-28</t>
        </is>
      </c>
      <c r="B449" t="inlineStr">
        <is>
          <t>vivareal.com.br</t>
        </is>
      </c>
      <c r="C449" t="inlineStr">
        <is>
          <t>VivaReal</t>
        </is>
      </c>
      <c r="E449" t="inlineStr">
        <is>
          <t>Casa</t>
        </is>
      </c>
      <c r="F449" t="inlineStr">
        <is>
          <t>Parque Tarumã · Rua Antônia Capoti Fernandes</t>
        </is>
      </c>
      <c r="G449" t="n">
        <v>99</v>
      </c>
      <c r="H449" t="n">
        <v>3</v>
      </c>
      <c r="K449" t="n">
        <v>2</v>
      </c>
      <c r="L449" t="n">
        <v>460000</v>
      </c>
      <c r="M449" t="inlineStr">
        <is>
          <t>VivaReal | id:2886297359</t>
        </is>
      </c>
      <c r="N449" t="inlineStr">
        <is>
          <t>Venda</t>
        </is>
      </c>
    </row>
    <row r="450">
      <c r="A450" t="inlineStr">
        <is>
          <t>2026-06-28</t>
        </is>
      </c>
      <c r="B450" t="inlineStr">
        <is>
          <t>vivareal.com.br</t>
        </is>
      </c>
      <c r="C450" t="inlineStr">
        <is>
          <t>VivaReal</t>
        </is>
      </c>
      <c r="E450" t="inlineStr">
        <is>
          <t>Casa</t>
        </is>
      </c>
      <c r="F450" t="inlineStr">
        <is>
          <t>Parque Tarumã · Rua Pioneiro Aldo Montovanelli</t>
        </is>
      </c>
      <c r="G450" t="n">
        <v>102</v>
      </c>
      <c r="H450" t="n">
        <v>3</v>
      </c>
      <c r="K450" t="n">
        <v>2</v>
      </c>
      <c r="L450" t="n">
        <v>330000</v>
      </c>
      <c r="M450" t="inlineStr">
        <is>
          <t>VivaReal | id:2843135769</t>
        </is>
      </c>
      <c r="N450" t="inlineStr">
        <is>
          <t>Venda</t>
        </is>
      </c>
    </row>
    <row r="451">
      <c r="A451" t="inlineStr">
        <is>
          <t>2026-06-28</t>
        </is>
      </c>
      <c r="B451" t="inlineStr">
        <is>
          <t>vivareal.com.br</t>
        </is>
      </c>
      <c r="C451" t="inlineStr">
        <is>
          <t>VivaReal</t>
        </is>
      </c>
      <c r="E451" t="inlineStr">
        <is>
          <t>Terreno</t>
        </is>
      </c>
      <c r="F451" t="inlineStr">
        <is>
          <t>Conjunto Residencial Cidade Alta · Rua Ataulfo Alves</t>
        </is>
      </c>
      <c r="G451" t="n">
        <v>1654</v>
      </c>
      <c r="L451" t="n">
        <v>280000</v>
      </c>
      <c r="M451" t="inlineStr">
        <is>
          <t>VivaReal | id:2893454285</t>
        </is>
      </c>
      <c r="N451" t="inlineStr">
        <is>
          <t>Venda</t>
        </is>
      </c>
    </row>
    <row r="452">
      <c r="A452" t="inlineStr">
        <is>
          <t>2026-06-28</t>
        </is>
      </c>
      <c r="B452" t="inlineStr">
        <is>
          <t>vivareal.com.br</t>
        </is>
      </c>
      <c r="C452" t="inlineStr">
        <is>
          <t>VivaReal</t>
        </is>
      </c>
      <c r="E452" t="inlineStr">
        <is>
          <t>Casa</t>
        </is>
      </c>
      <c r="F452" t="inlineStr">
        <is>
          <t>Jardim Pilar · Rua Pioneira Irene Vitorazo Fregonezi</t>
        </is>
      </c>
      <c r="G452" t="n">
        <v>160</v>
      </c>
      <c r="H452" t="n">
        <v>3</v>
      </c>
      <c r="K452" t="n">
        <v>3</v>
      </c>
      <c r="L452" t="n">
        <v>975000</v>
      </c>
      <c r="M452" t="inlineStr">
        <is>
          <t>VivaReal | id:2786780442</t>
        </is>
      </c>
      <c r="N452" t="inlineStr">
        <is>
          <t>Venda</t>
        </is>
      </c>
    </row>
    <row r="453">
      <c r="A453" t="inlineStr">
        <is>
          <t>2026-06-28</t>
        </is>
      </c>
      <c r="B453" t="inlineStr">
        <is>
          <t>vivareal.com.br</t>
        </is>
      </c>
      <c r="C453" t="inlineStr">
        <is>
          <t>VivaReal</t>
        </is>
      </c>
      <c r="E453" t="inlineStr">
        <is>
          <t>Terreno</t>
        </is>
      </c>
      <c r="F453" t="inlineStr">
        <is>
          <t>Jardim Espanha · Rua José Miranda Ferraz</t>
        </is>
      </c>
      <c r="G453" t="n">
        <v>200</v>
      </c>
      <c r="L453" t="n">
        <v>215000</v>
      </c>
      <c r="M453" t="inlineStr">
        <is>
          <t>VivaReal | id:2865514183</t>
        </is>
      </c>
      <c r="N453" t="inlineStr">
        <is>
          <t>Venda</t>
        </is>
      </c>
    </row>
    <row r="454">
      <c r="A454" t="inlineStr">
        <is>
          <t>2026-06-28</t>
        </is>
      </c>
      <c r="B454" t="inlineStr">
        <is>
          <t>vivareal.com.br</t>
        </is>
      </c>
      <c r="C454" t="inlineStr">
        <is>
          <t>VivaReal</t>
        </is>
      </c>
      <c r="E454" t="inlineStr">
        <is>
          <t>Terreno</t>
        </is>
      </c>
      <c r="F454" t="inlineStr">
        <is>
          <t>Jardim Pinheiros · Rua Araucária</t>
        </is>
      </c>
      <c r="G454" t="n">
        <v>260</v>
      </c>
      <c r="L454" t="n">
        <v>755000</v>
      </c>
      <c r="M454" t="inlineStr">
        <is>
          <t>VivaReal | id:2800673741</t>
        </is>
      </c>
      <c r="N454" t="inlineStr">
        <is>
          <t>Venda</t>
        </is>
      </c>
    </row>
    <row r="455">
      <c r="A455" t="inlineStr">
        <is>
          <t>2026-06-28</t>
        </is>
      </c>
      <c r="B455" t="inlineStr">
        <is>
          <t>vivareal.com.br</t>
        </is>
      </c>
      <c r="C455" t="inlineStr">
        <is>
          <t>VivaReal</t>
        </is>
      </c>
      <c r="E455" t="inlineStr">
        <is>
          <t>Casa</t>
        </is>
      </c>
      <c r="F455" t="inlineStr">
        <is>
          <t>Loteamento Residencial Iguatemi · Rua 33.150</t>
        </is>
      </c>
      <c r="G455" t="n">
        <v>91</v>
      </c>
      <c r="H455" t="n">
        <v>3</v>
      </c>
      <c r="K455" t="n">
        <v>2</v>
      </c>
      <c r="L455" t="n">
        <v>425000</v>
      </c>
      <c r="M455" t="inlineStr">
        <is>
          <t>VivaReal | id:2873920986</t>
        </is>
      </c>
      <c r="N455" t="inlineStr">
        <is>
          <t>Venda</t>
        </is>
      </c>
    </row>
    <row r="456">
      <c r="A456" t="inlineStr">
        <is>
          <t>2026-06-28</t>
        </is>
      </c>
      <c r="B456" t="inlineStr">
        <is>
          <t>vivareal.com.br</t>
        </is>
      </c>
      <c r="C456" t="inlineStr">
        <is>
          <t>VivaReal</t>
        </is>
      </c>
      <c r="E456" t="inlineStr">
        <is>
          <t>Sobrado</t>
        </is>
      </c>
      <c r="F456" t="inlineStr">
        <is>
          <t>Jardim Liberdade III · Rua Gisele Gomes de Castro</t>
        </is>
      </c>
      <c r="G456" t="n">
        <v>243</v>
      </c>
      <c r="H456" t="n">
        <v>4</v>
      </c>
      <c r="K456" t="n">
        <v>4</v>
      </c>
      <c r="L456" t="n">
        <v>750000</v>
      </c>
      <c r="M456" t="inlineStr">
        <is>
          <t>VivaReal | id:2881075537</t>
        </is>
      </c>
      <c r="N456" t="inlineStr">
        <is>
          <t>Venda</t>
        </is>
      </c>
    </row>
    <row r="457">
      <c r="A457" t="inlineStr">
        <is>
          <t>2026-06-28</t>
        </is>
      </c>
      <c r="B457" t="inlineStr">
        <is>
          <t>vivareal.com.br</t>
        </is>
      </c>
      <c r="C457" t="inlineStr">
        <is>
          <t>VivaReal</t>
        </is>
      </c>
      <c r="E457" t="inlineStr">
        <is>
          <t>Casa</t>
        </is>
      </c>
      <c r="F457" t="inlineStr">
        <is>
          <t>Parque das Grevíleas 3ª parte · Rua Emborcação</t>
        </is>
      </c>
      <c r="G457" t="n">
        <v>97</v>
      </c>
      <c r="H457" t="n">
        <v>3</v>
      </c>
      <c r="K457" t="n">
        <v>2</v>
      </c>
      <c r="L457" t="n">
        <v>550000</v>
      </c>
      <c r="M457" t="inlineStr">
        <is>
          <t>VivaReal | id:2886954594</t>
        </is>
      </c>
      <c r="N457" t="inlineStr">
        <is>
          <t>Venda</t>
        </is>
      </c>
    </row>
    <row r="458">
      <c r="A458" t="inlineStr">
        <is>
          <t>2026-06-28</t>
        </is>
      </c>
      <c r="B458" t="inlineStr">
        <is>
          <t>vivareal.com.br</t>
        </is>
      </c>
      <c r="C458" t="inlineStr">
        <is>
          <t>VivaReal</t>
        </is>
      </c>
      <c r="E458" t="inlineStr">
        <is>
          <t>Terreno</t>
        </is>
      </c>
      <c r="F458" t="inlineStr">
        <is>
          <t>Jardim Liberdade · Rua Pioneiro Carlos Poppi</t>
        </is>
      </c>
      <c r="G458" t="n">
        <v>317</v>
      </c>
      <c r="L458" t="n">
        <v>270000</v>
      </c>
      <c r="M458" t="inlineStr">
        <is>
          <t>VivaReal | id:2857324278</t>
        </is>
      </c>
      <c r="N458" t="inlineStr">
        <is>
          <t>Venda</t>
        </is>
      </c>
    </row>
    <row r="459">
      <c r="A459" t="inlineStr">
        <is>
          <t>2026-06-28</t>
        </is>
      </c>
      <c r="B459" t="inlineStr">
        <is>
          <t>vivareal.com.br</t>
        </is>
      </c>
      <c r="C459" t="inlineStr">
        <is>
          <t>VivaReal</t>
        </is>
      </c>
      <c r="E459" t="inlineStr">
        <is>
          <t>Apartamento</t>
        </is>
      </c>
      <c r="F459" t="inlineStr">
        <is>
          <t>Jardim Alvorada · Rua Vítor do Amaral</t>
        </is>
      </c>
      <c r="G459" t="n">
        <v>46</v>
      </c>
      <c r="H459" t="n">
        <v>2</v>
      </c>
      <c r="K459" t="n">
        <v>1</v>
      </c>
      <c r="L459" t="n">
        <v>280000</v>
      </c>
      <c r="M459" t="inlineStr">
        <is>
          <t>VivaReal | id:2894742611</t>
        </is>
      </c>
      <c r="N459" t="inlineStr">
        <is>
          <t>Venda</t>
        </is>
      </c>
    </row>
    <row r="460">
      <c r="A460" t="inlineStr">
        <is>
          <t>2026-06-28</t>
        </is>
      </c>
      <c r="B460" t="inlineStr">
        <is>
          <t>vivareal.com.br</t>
        </is>
      </c>
      <c r="C460" t="inlineStr">
        <is>
          <t>VivaReal</t>
        </is>
      </c>
      <c r="E460" t="inlineStr">
        <is>
          <t>Terreno</t>
        </is>
      </c>
      <c r="F460" t="inlineStr">
        <is>
          <t>Bom Jardim · Rua Henoch Vieira de Quental</t>
        </is>
      </c>
      <c r="G460" t="n">
        <v>200</v>
      </c>
      <c r="L460" t="n">
        <v>250000</v>
      </c>
      <c r="M460" t="inlineStr">
        <is>
          <t>VivaReal | id:2825385699</t>
        </is>
      </c>
      <c r="N460" t="inlineStr">
        <is>
          <t>Venda</t>
        </is>
      </c>
    </row>
    <row r="461">
      <c r="A461" t="inlineStr">
        <is>
          <t>2026-06-28</t>
        </is>
      </c>
      <c r="B461" t="inlineStr">
        <is>
          <t>vivareal.com.br</t>
        </is>
      </c>
      <c r="C461" t="inlineStr">
        <is>
          <t>VivaReal</t>
        </is>
      </c>
      <c r="E461" t="inlineStr">
        <is>
          <t>Sobrado</t>
        </is>
      </c>
      <c r="F461" t="inlineStr">
        <is>
          <t>Jardim Colina Verde II · Rua Pioneira Leonarda Garcia Coelho</t>
        </is>
      </c>
      <c r="G461" t="n">
        <v>163</v>
      </c>
      <c r="H461" t="n">
        <v>3</v>
      </c>
      <c r="K461" t="n">
        <v>2</v>
      </c>
      <c r="L461" t="n">
        <v>550000</v>
      </c>
      <c r="M461" t="inlineStr">
        <is>
          <t>VivaReal | id:2857403182</t>
        </is>
      </c>
      <c r="N461" t="inlineStr">
        <is>
          <t>Venda</t>
        </is>
      </c>
    </row>
    <row r="462">
      <c r="A462" t="inlineStr">
        <is>
          <t>2026-06-28</t>
        </is>
      </c>
      <c r="B462" t="inlineStr">
        <is>
          <t>vivareal.com.br</t>
        </is>
      </c>
      <c r="C462" t="inlineStr">
        <is>
          <t>VivaReal</t>
        </is>
      </c>
      <c r="E462" t="inlineStr">
        <is>
          <t>Terreno</t>
        </is>
      </c>
      <c r="F462" t="inlineStr">
        <is>
          <t>Parque Palmeiras</t>
        </is>
      </c>
      <c r="G462" t="n">
        <v>300</v>
      </c>
      <c r="L462" t="n">
        <v>390000</v>
      </c>
      <c r="M462" t="inlineStr">
        <is>
          <t>VivaReal | id:2893570103</t>
        </is>
      </c>
      <c r="N462" t="inlineStr">
        <is>
          <t>Venda</t>
        </is>
      </c>
    </row>
    <row r="463">
      <c r="A463" t="inlineStr">
        <is>
          <t>2026-06-28</t>
        </is>
      </c>
      <c r="B463" t="inlineStr">
        <is>
          <t>vivareal.com.br</t>
        </is>
      </c>
      <c r="C463" t="inlineStr">
        <is>
          <t>VivaReal</t>
        </is>
      </c>
      <c r="E463" t="inlineStr">
        <is>
          <t>Casa</t>
        </is>
      </c>
      <c r="F463" t="inlineStr">
        <is>
          <t>Parque Tarumã · Rua Antônia Capoti Fernandes</t>
        </is>
      </c>
      <c r="G463" t="n">
        <v>105</v>
      </c>
      <c r="H463" t="n">
        <v>3</v>
      </c>
      <c r="K463" t="n">
        <v>2</v>
      </c>
      <c r="L463" t="n">
        <v>450000</v>
      </c>
      <c r="M463" t="inlineStr">
        <is>
          <t>VivaReal | id:2843134974</t>
        </is>
      </c>
      <c r="N463" t="inlineStr">
        <is>
          <t>Venda</t>
        </is>
      </c>
    </row>
    <row r="464">
      <c r="A464" t="inlineStr">
        <is>
          <t>2026-06-28</t>
        </is>
      </c>
      <c r="B464" t="inlineStr">
        <is>
          <t>vivareal.com.br</t>
        </is>
      </c>
      <c r="C464" t="inlineStr">
        <is>
          <t>VivaReal</t>
        </is>
      </c>
      <c r="E464" t="inlineStr">
        <is>
          <t>Terreno</t>
        </is>
      </c>
      <c r="F464" t="inlineStr">
        <is>
          <t>Conjunto Residencial Cidade Alta · Avenida Carmen Miranda</t>
        </is>
      </c>
      <c r="G464" t="n">
        <v>180</v>
      </c>
      <c r="K464" t="n">
        <v>3</v>
      </c>
      <c r="L464" t="n">
        <v>550000</v>
      </c>
      <c r="M464" t="inlineStr">
        <is>
          <t>VivaReal | id:2872776950</t>
        </is>
      </c>
      <c r="N464" t="inlineStr">
        <is>
          <t>Venda</t>
        </is>
      </c>
    </row>
    <row r="465">
      <c r="A465" t="inlineStr">
        <is>
          <t>2026-06-28</t>
        </is>
      </c>
      <c r="B465" t="inlineStr">
        <is>
          <t>vivareal.com.br</t>
        </is>
      </c>
      <c r="C465" t="inlineStr">
        <is>
          <t>VivaReal</t>
        </is>
      </c>
      <c r="E465" t="inlineStr">
        <is>
          <t>Terreno</t>
        </is>
      </c>
      <c r="F465" t="inlineStr">
        <is>
          <t>Bom Jardim · Rua Satsuki Kobayashi Tsuzuki</t>
        </is>
      </c>
      <c r="G465" t="n">
        <v>475</v>
      </c>
      <c r="L465" t="n">
        <v>402385</v>
      </c>
      <c r="M465" t="inlineStr">
        <is>
          <t>VivaReal | id:2718698753</t>
        </is>
      </c>
      <c r="N465" t="inlineStr">
        <is>
          <t>Venda</t>
        </is>
      </c>
    </row>
    <row r="466">
      <c r="A466" t="inlineStr">
        <is>
          <t>2026-06-28</t>
        </is>
      </c>
      <c r="B466" t="inlineStr">
        <is>
          <t>vivareal.com.br</t>
        </is>
      </c>
      <c r="C466" t="inlineStr">
        <is>
          <t>VivaReal</t>
        </is>
      </c>
      <c r="E466" t="inlineStr">
        <is>
          <t>Casa</t>
        </is>
      </c>
      <c r="F466" t="inlineStr">
        <is>
          <t>Jardim Três Lagoas · Rua Pioneiro Nilso Costa</t>
        </is>
      </c>
      <c r="G466" t="n">
        <v>80</v>
      </c>
      <c r="H466" t="n">
        <v>3</v>
      </c>
      <c r="K466" t="n">
        <v>3</v>
      </c>
      <c r="L466" t="n">
        <v>430000</v>
      </c>
      <c r="M466" t="inlineStr">
        <is>
          <t>VivaReal | id:2885128832</t>
        </is>
      </c>
      <c r="N466" t="inlineStr">
        <is>
          <t>Venda</t>
        </is>
      </c>
    </row>
    <row r="467">
      <c r="A467" t="inlineStr">
        <is>
          <t>2026-06-28</t>
        </is>
      </c>
      <c r="B467" t="inlineStr">
        <is>
          <t>vivareal.com.br</t>
        </is>
      </c>
      <c r="C467" t="inlineStr">
        <is>
          <t>VivaReal</t>
        </is>
      </c>
      <c r="E467" t="inlineStr">
        <is>
          <t>Apartamento</t>
        </is>
      </c>
      <c r="F467" t="inlineStr">
        <is>
          <t>Zona 07 · Rua José Clemente</t>
        </is>
      </c>
      <c r="G467" t="n">
        <v>115</v>
      </c>
      <c r="H467" t="n">
        <v>3</v>
      </c>
      <c r="K467" t="n">
        <v>1</v>
      </c>
      <c r="L467" t="n">
        <v>450000</v>
      </c>
      <c r="M467" t="inlineStr">
        <is>
          <t>VivaReal | id:2800672962</t>
        </is>
      </c>
      <c r="N467" t="inlineStr">
        <is>
          <t>Venda</t>
        </is>
      </c>
    </row>
    <row r="468">
      <c r="A468" t="inlineStr">
        <is>
          <t>2026-06-28</t>
        </is>
      </c>
      <c r="B468" t="inlineStr">
        <is>
          <t>vivareal.com.br</t>
        </is>
      </c>
      <c r="C468" t="inlineStr">
        <is>
          <t>VivaReal</t>
        </is>
      </c>
      <c r="E468" t="inlineStr">
        <is>
          <t>Terreno</t>
        </is>
      </c>
      <c r="F468" t="inlineStr">
        <is>
          <t>Residencial Arezzo · Rua Charles Coelho Luiz</t>
        </is>
      </c>
      <c r="G468" t="n">
        <v>415</v>
      </c>
      <c r="L468" t="n">
        <v>285000</v>
      </c>
      <c r="M468" t="inlineStr">
        <is>
          <t>VivaReal | id:2816788721</t>
        </is>
      </c>
      <c r="N468" t="inlineStr">
        <is>
          <t>Venda</t>
        </is>
      </c>
    </row>
    <row r="469">
      <c r="A469" t="inlineStr">
        <is>
          <t>2026-06-28</t>
        </is>
      </c>
      <c r="B469" t="inlineStr">
        <is>
          <t>vivareal.com.br</t>
        </is>
      </c>
      <c r="C469" t="inlineStr">
        <is>
          <t>VivaReal</t>
        </is>
      </c>
      <c r="E469" t="inlineStr">
        <is>
          <t>Casa</t>
        </is>
      </c>
      <c r="F469" t="inlineStr">
        <is>
          <t>Conjunto Residencial Paulino Carlos Filho · Rua Rio Xingu</t>
        </is>
      </c>
      <c r="G469" t="n">
        <v>113</v>
      </c>
      <c r="H469" t="n">
        <v>3</v>
      </c>
      <c r="K469" t="n">
        <v>4</v>
      </c>
      <c r="L469" t="n">
        <v>350000</v>
      </c>
      <c r="M469" t="inlineStr">
        <is>
          <t>VivaReal | id:2812713619</t>
        </is>
      </c>
      <c r="N469" t="inlineStr">
        <is>
          <t>Venda</t>
        </is>
      </c>
    </row>
    <row r="470">
      <c r="A470" t="inlineStr">
        <is>
          <t>2026-06-28</t>
        </is>
      </c>
      <c r="B470" t="inlineStr">
        <is>
          <t>vivareal.com.br</t>
        </is>
      </c>
      <c r="C470" t="inlineStr">
        <is>
          <t>VivaReal</t>
        </is>
      </c>
      <c r="E470" t="inlineStr">
        <is>
          <t>Casa</t>
        </is>
      </c>
      <c r="F470" t="inlineStr">
        <is>
          <t>Jardim Barcelona · Rua Pioneiro Sixto Polo</t>
        </is>
      </c>
      <c r="G470" t="n">
        <v>125</v>
      </c>
      <c r="H470" t="n">
        <v>3</v>
      </c>
      <c r="K470" t="n">
        <v>3</v>
      </c>
      <c r="L470" t="n">
        <v>430000</v>
      </c>
      <c r="M470" t="inlineStr">
        <is>
          <t>VivaReal | id:2893450999</t>
        </is>
      </c>
      <c r="N470" t="inlineStr">
        <is>
          <t>Venda</t>
        </is>
      </c>
    </row>
    <row r="471">
      <c r="A471" t="inlineStr">
        <is>
          <t>2026-06-28</t>
        </is>
      </c>
      <c r="B471" t="inlineStr">
        <is>
          <t>vivareal.com.br</t>
        </is>
      </c>
      <c r="C471" t="inlineStr">
        <is>
          <t>VivaReal</t>
        </is>
      </c>
      <c r="E471" t="inlineStr">
        <is>
          <t>Sobrado</t>
        </is>
      </c>
      <c r="F471" t="inlineStr">
        <is>
          <t>Vila Nevada · Rua Ronaldo Petrucci</t>
        </is>
      </c>
      <c r="G471" t="n">
        <v>150</v>
      </c>
      <c r="H471" t="n">
        <v>3</v>
      </c>
      <c r="L471" t="n">
        <v>680000</v>
      </c>
      <c r="M471" t="inlineStr">
        <is>
          <t>VivaReal | id:2883246201</t>
        </is>
      </c>
      <c r="N471" t="inlineStr">
        <is>
          <t>Venda</t>
        </is>
      </c>
    </row>
    <row r="472">
      <c r="A472" t="inlineStr">
        <is>
          <t>2026-06-28</t>
        </is>
      </c>
      <c r="B472" t="inlineStr">
        <is>
          <t>vivareal.com.br</t>
        </is>
      </c>
      <c r="C472" t="inlineStr">
        <is>
          <t>VivaReal</t>
        </is>
      </c>
      <c r="E472" t="inlineStr">
        <is>
          <t>Casa</t>
        </is>
      </c>
      <c r="F472" t="inlineStr">
        <is>
          <t>Jardim Olímpico · Rua Bem-te-vi</t>
        </is>
      </c>
      <c r="G472" t="n">
        <v>83</v>
      </c>
      <c r="H472" t="n">
        <v>2</v>
      </c>
      <c r="K472" t="n">
        <v>2</v>
      </c>
      <c r="L472" t="n">
        <v>550000</v>
      </c>
      <c r="M472" t="inlineStr">
        <is>
          <t>VivaReal | id:2878827131</t>
        </is>
      </c>
      <c r="N472" t="inlineStr">
        <is>
          <t>Venda</t>
        </is>
      </c>
    </row>
    <row r="473">
      <c r="A473" t="inlineStr">
        <is>
          <t>2026-06-28</t>
        </is>
      </c>
      <c r="B473" t="inlineStr">
        <is>
          <t>vivareal.com.br</t>
        </is>
      </c>
      <c r="C473" t="inlineStr">
        <is>
          <t>VivaReal</t>
        </is>
      </c>
      <c r="E473" t="inlineStr">
        <is>
          <t>Terreno</t>
        </is>
      </c>
      <c r="F473" t="inlineStr">
        <is>
          <t>Jardim Alvorada · Rua Mato Grosso</t>
        </is>
      </c>
      <c r="G473" t="n">
        <v>525</v>
      </c>
      <c r="L473" t="n">
        <v>375000</v>
      </c>
      <c r="M473" t="inlineStr">
        <is>
          <t>VivaReal | id:2892653375</t>
        </is>
      </c>
      <c r="N473" t="inlineStr">
        <is>
          <t>Venda</t>
        </is>
      </c>
    </row>
    <row r="474">
      <c r="A474" t="inlineStr">
        <is>
          <t>2026-06-28</t>
        </is>
      </c>
      <c r="B474" t="inlineStr">
        <is>
          <t>vivareal.com.br</t>
        </is>
      </c>
      <c r="C474" t="inlineStr">
        <is>
          <t>VivaReal</t>
        </is>
      </c>
      <c r="E474" t="inlineStr">
        <is>
          <t>Apartamento</t>
        </is>
      </c>
      <c r="F474" t="inlineStr">
        <is>
          <t>Loteamento Sumaré · Rua Pioneira Maria Aparecida Araújo de Siqueira</t>
        </is>
      </c>
      <c r="G474" t="n">
        <v>48</v>
      </c>
      <c r="H474" t="n">
        <v>2</v>
      </c>
      <c r="K474" t="n">
        <v>1</v>
      </c>
      <c r="L474" t="n">
        <v>230000</v>
      </c>
      <c r="M474" t="inlineStr">
        <is>
          <t>VivaReal | id:2883549625</t>
        </is>
      </c>
      <c r="N474" t="inlineStr">
        <is>
          <t>Venda</t>
        </is>
      </c>
    </row>
    <row r="475">
      <c r="A475" t="inlineStr">
        <is>
          <t>2026-06-28</t>
        </is>
      </c>
      <c r="B475" t="inlineStr">
        <is>
          <t>vivareal.com.br</t>
        </is>
      </c>
      <c r="C475" t="inlineStr">
        <is>
          <t>VivaReal</t>
        </is>
      </c>
      <c r="E475" t="inlineStr">
        <is>
          <t>Terreno</t>
        </is>
      </c>
      <c r="F475" t="inlineStr">
        <is>
          <t>Parque Hortência · Avenida Deputado José Alves dos Santos</t>
        </is>
      </c>
      <c r="G475" t="n">
        <v>304</v>
      </c>
      <c r="L475" t="n">
        <v>360000</v>
      </c>
      <c r="M475" t="inlineStr">
        <is>
          <t>VivaReal | id:2875025017</t>
        </is>
      </c>
      <c r="N475" t="inlineStr">
        <is>
          <t>Venda</t>
        </is>
      </c>
    </row>
    <row r="476">
      <c r="A476" t="inlineStr">
        <is>
          <t>2026-06-28</t>
        </is>
      </c>
      <c r="B476" t="inlineStr">
        <is>
          <t>vivareal.com.br</t>
        </is>
      </c>
      <c r="C476" t="inlineStr">
        <is>
          <t>VivaReal</t>
        </is>
      </c>
      <c r="E476" t="inlineStr">
        <is>
          <t>Terreno</t>
        </is>
      </c>
      <c r="F476" t="inlineStr">
        <is>
          <t>Jardim São Domingos · Estrada São Bento</t>
        </is>
      </c>
      <c r="G476" t="n">
        <v>24200</v>
      </c>
      <c r="L476" t="n">
        <v>920000</v>
      </c>
      <c r="M476" t="inlineStr">
        <is>
          <t>VivaReal | id:2843135722</t>
        </is>
      </c>
      <c r="N476" t="inlineStr">
        <is>
          <t>Venda</t>
        </is>
      </c>
    </row>
    <row r="477">
      <c r="A477" t="inlineStr">
        <is>
          <t>2026-06-28</t>
        </is>
      </c>
      <c r="B477" t="inlineStr">
        <is>
          <t>vivareal.com.br</t>
        </is>
      </c>
      <c r="C477" t="inlineStr">
        <is>
          <t>VivaReal</t>
        </is>
      </c>
      <c r="E477" t="inlineStr">
        <is>
          <t>Galpão</t>
        </is>
      </c>
      <c r="G477" t="n">
        <v>408</v>
      </c>
      <c r="L477" t="n">
        <v>525000</v>
      </c>
      <c r="M477" t="inlineStr">
        <is>
          <t>VivaReal | id:2890807479</t>
        </is>
      </c>
      <c r="N477" t="inlineStr">
        <is>
          <t>Venda</t>
        </is>
      </c>
    </row>
    <row r="478">
      <c r="A478" t="inlineStr">
        <is>
          <t>2026-06-28</t>
        </is>
      </c>
      <c r="B478" t="inlineStr">
        <is>
          <t>vivareal.com.br</t>
        </is>
      </c>
      <c r="C478" t="inlineStr">
        <is>
          <t>VivaReal</t>
        </is>
      </c>
      <c r="E478" t="inlineStr">
        <is>
          <t>Apartamento</t>
        </is>
      </c>
      <c r="F478" t="inlineStr">
        <is>
          <t>Zona 07 · Rua Osvaldo Cruz</t>
        </is>
      </c>
      <c r="G478" t="n">
        <v>68</v>
      </c>
      <c r="H478" t="n">
        <v>2</v>
      </c>
      <c r="K478" t="n">
        <v>1</v>
      </c>
      <c r="L478" t="n">
        <v>310000</v>
      </c>
      <c r="M478" t="inlineStr">
        <is>
          <t>VivaReal | id:2872780220</t>
        </is>
      </c>
      <c r="N478" t="inlineStr">
        <is>
          <t>Venda</t>
        </is>
      </c>
    </row>
    <row r="479">
      <c r="A479" t="inlineStr">
        <is>
          <t>2026-06-28</t>
        </is>
      </c>
      <c r="B479" t="inlineStr">
        <is>
          <t>vivareal.com.br</t>
        </is>
      </c>
      <c r="C479" t="inlineStr">
        <is>
          <t>VivaReal</t>
        </is>
      </c>
      <c r="E479" t="inlineStr">
        <is>
          <t>Casa</t>
        </is>
      </c>
      <c r="F479" t="inlineStr">
        <is>
          <t>Jardim Paris · Rua Antônio Brambilla</t>
        </is>
      </c>
      <c r="G479" t="n">
        <v>110</v>
      </c>
      <c r="H479" t="n">
        <v>3</v>
      </c>
      <c r="K479" t="n">
        <v>2</v>
      </c>
      <c r="L479" t="n">
        <v>459000</v>
      </c>
      <c r="M479" t="inlineStr">
        <is>
          <t>VivaReal | id:2872780575</t>
        </is>
      </c>
      <c r="N479" t="inlineStr">
        <is>
          <t>Venda</t>
        </is>
      </c>
    </row>
    <row r="480">
      <c r="A480" t="inlineStr">
        <is>
          <t>2026-06-28</t>
        </is>
      </c>
      <c r="B480" t="inlineStr">
        <is>
          <t>vivareal.com.br</t>
        </is>
      </c>
      <c r="C480" t="inlineStr">
        <is>
          <t>VivaReal</t>
        </is>
      </c>
      <c r="E480" t="inlineStr">
        <is>
          <t>Apartamento</t>
        </is>
      </c>
      <c r="F480" t="inlineStr">
        <is>
          <t>Jardim Aclimação · Avenida Senador Petrônio Portela</t>
        </is>
      </c>
      <c r="G480" t="n">
        <v>45</v>
      </c>
      <c r="H480" t="n">
        <v>3</v>
      </c>
      <c r="L480" t="n">
        <v>452100</v>
      </c>
      <c r="M480" t="inlineStr">
        <is>
          <t>VivaReal | id:2894423075</t>
        </is>
      </c>
      <c r="N480" t="inlineStr">
        <is>
          <t>Venda</t>
        </is>
      </c>
    </row>
    <row r="481">
      <c r="A481" t="inlineStr">
        <is>
          <t>2026-06-28</t>
        </is>
      </c>
      <c r="B481" t="inlineStr">
        <is>
          <t>vivareal.com.br</t>
        </is>
      </c>
      <c r="C481" t="inlineStr">
        <is>
          <t>VivaReal</t>
        </is>
      </c>
      <c r="E481" t="inlineStr">
        <is>
          <t>Apartamento</t>
        </is>
      </c>
      <c r="F481" t="inlineStr">
        <is>
          <t>Zona 07 · Rua Osvaldo Cruz</t>
        </is>
      </c>
      <c r="G481" t="n">
        <v>54</v>
      </c>
      <c r="H481" t="n">
        <v>1</v>
      </c>
      <c r="K481" t="n">
        <v>1</v>
      </c>
      <c r="L481" t="n">
        <v>245000</v>
      </c>
      <c r="M481" t="inlineStr">
        <is>
          <t>VivaReal | id:2872778430</t>
        </is>
      </c>
      <c r="N481" t="inlineStr">
        <is>
          <t>Venda</t>
        </is>
      </c>
    </row>
    <row r="482">
      <c r="A482" t="inlineStr">
        <is>
          <t>2026-06-28</t>
        </is>
      </c>
      <c r="B482" t="inlineStr">
        <is>
          <t>vivareal.com.br</t>
        </is>
      </c>
      <c r="C482" t="inlineStr">
        <is>
          <t>VivaReal</t>
        </is>
      </c>
      <c r="E482" t="inlineStr">
        <is>
          <t>Terreno</t>
        </is>
      </c>
      <c r="F482" t="inlineStr">
        <is>
          <t>Jardim Hanover · Avenida Pioneiro Maurício Mariani</t>
        </is>
      </c>
      <c r="G482" t="n">
        <v>301</v>
      </c>
      <c r="L482" t="n">
        <v>184756</v>
      </c>
      <c r="M482" t="inlineStr">
        <is>
          <t>VivaReal | id:2893543885</t>
        </is>
      </c>
      <c r="N482" t="inlineStr">
        <is>
          <t>Venda</t>
        </is>
      </c>
    </row>
    <row r="483">
      <c r="A483" t="inlineStr">
        <is>
          <t>2026-06-28</t>
        </is>
      </c>
      <c r="B483" t="inlineStr">
        <is>
          <t>vivareal.com.br</t>
        </is>
      </c>
      <c r="C483" t="inlineStr">
        <is>
          <t>VivaReal</t>
        </is>
      </c>
      <c r="E483" t="inlineStr">
        <is>
          <t>Terreno</t>
        </is>
      </c>
      <c r="F483" t="inlineStr">
        <is>
          <t>Jardim Paris III · Rua Pioneiro Luiz Fitz</t>
        </is>
      </c>
      <c r="G483" t="n">
        <v>376</v>
      </c>
      <c r="L483" t="n">
        <v>230000</v>
      </c>
      <c r="M483" t="inlineStr">
        <is>
          <t>VivaReal | id:2805817137</t>
        </is>
      </c>
      <c r="N483" t="inlineStr">
        <is>
          <t>Venda</t>
        </is>
      </c>
    </row>
    <row r="484">
      <c r="A484" t="inlineStr">
        <is>
          <t>2026-06-28</t>
        </is>
      </c>
      <c r="B484" t="inlineStr">
        <is>
          <t>vivareal.com.br</t>
        </is>
      </c>
      <c r="C484" t="inlineStr">
        <is>
          <t>VivaReal</t>
        </is>
      </c>
      <c r="E484" t="inlineStr">
        <is>
          <t>Casa</t>
        </is>
      </c>
      <c r="F484" t="inlineStr">
        <is>
          <t>Parque Residencial Tuiuti · Rua Rio Barreiro</t>
        </is>
      </c>
      <c r="G484" t="n">
        <v>100</v>
      </c>
      <c r="H484" t="n">
        <v>2</v>
      </c>
      <c r="K484" t="n">
        <v>2</v>
      </c>
      <c r="L484" t="n">
        <v>395000</v>
      </c>
      <c r="M484" t="inlineStr">
        <is>
          <t>VivaReal | id:2880092801</t>
        </is>
      </c>
      <c r="N484" t="inlineStr">
        <is>
          <t>Venda</t>
        </is>
      </c>
    </row>
    <row r="485">
      <c r="A485" t="inlineStr">
        <is>
          <t>2026-06-28</t>
        </is>
      </c>
      <c r="B485" t="inlineStr">
        <is>
          <t>vivareal.com.br</t>
        </is>
      </c>
      <c r="C485" t="inlineStr">
        <is>
          <t>VivaReal</t>
        </is>
      </c>
      <c r="E485" t="inlineStr">
        <is>
          <t>Casa</t>
        </is>
      </c>
      <c r="F485" t="inlineStr">
        <is>
          <t>Jardim Leblon · Rua Pioneiro Hettore Giacopini</t>
        </is>
      </c>
      <c r="G485" t="n">
        <v>112</v>
      </c>
      <c r="H485" t="n">
        <v>3</v>
      </c>
      <c r="K485" t="n">
        <v>2</v>
      </c>
      <c r="L485" t="n">
        <v>480000</v>
      </c>
      <c r="M485" t="inlineStr">
        <is>
          <t>VivaReal | id:2887826300</t>
        </is>
      </c>
      <c r="N485" t="inlineStr">
        <is>
          <t>Venda</t>
        </is>
      </c>
    </row>
    <row r="486">
      <c r="A486" t="inlineStr">
        <is>
          <t>2026-06-28</t>
        </is>
      </c>
      <c r="B486" t="inlineStr">
        <is>
          <t>vivareal.com.br</t>
        </is>
      </c>
      <c r="C486" t="inlineStr">
        <is>
          <t>VivaReal</t>
        </is>
      </c>
      <c r="E486" t="inlineStr">
        <is>
          <t>Terreno</t>
        </is>
      </c>
      <c r="F486" t="inlineStr">
        <is>
          <t>Jardim Itália II · Rua Pioneira Vergínia Maria Fecchio</t>
        </is>
      </c>
      <c r="G486" t="n">
        <v>301</v>
      </c>
      <c r="L486" t="n">
        <v>530000</v>
      </c>
      <c r="M486" t="inlineStr">
        <is>
          <t>VivaReal | id:2881946988</t>
        </is>
      </c>
      <c r="N486" t="inlineStr">
        <is>
          <t>Venda</t>
        </is>
      </c>
    </row>
    <row r="487">
      <c r="A487" t="inlineStr">
        <is>
          <t>2026-06-28</t>
        </is>
      </c>
      <c r="B487" t="inlineStr">
        <is>
          <t>vivareal.com.br</t>
        </is>
      </c>
      <c r="C487" t="inlineStr">
        <is>
          <t>VivaReal</t>
        </is>
      </c>
      <c r="E487" t="inlineStr">
        <is>
          <t>Sobrado</t>
        </is>
      </c>
      <c r="F487" t="inlineStr">
        <is>
          <t>Parque Residencial Quebec · Rua Palmital</t>
        </is>
      </c>
      <c r="G487" t="n">
        <v>146</v>
      </c>
      <c r="H487" t="n">
        <v>3</v>
      </c>
      <c r="K487" t="n">
        <v>3</v>
      </c>
      <c r="L487" t="n">
        <v>570000</v>
      </c>
      <c r="M487" t="inlineStr">
        <is>
          <t>VivaReal | id:2875237064</t>
        </is>
      </c>
      <c r="N487" t="inlineStr">
        <is>
          <t>Venda</t>
        </is>
      </c>
    </row>
    <row r="488">
      <c r="A488" t="inlineStr">
        <is>
          <t>2026-06-28</t>
        </is>
      </c>
      <c r="B488" t="inlineStr">
        <is>
          <t>vivareal.com.br</t>
        </is>
      </c>
      <c r="C488" t="inlineStr">
        <is>
          <t>VivaReal</t>
        </is>
      </c>
      <c r="E488" t="inlineStr">
        <is>
          <t>Casa</t>
        </is>
      </c>
      <c r="F488" t="inlineStr">
        <is>
          <t>Jardim Monte Rei</t>
        </is>
      </c>
      <c r="G488" t="n">
        <v>104</v>
      </c>
      <c r="H488" t="n">
        <v>3</v>
      </c>
      <c r="L488" t="n">
        <v>620000</v>
      </c>
      <c r="M488" t="inlineStr">
        <is>
          <t>VivaReal | id:2778879248</t>
        </is>
      </c>
      <c r="N488" t="inlineStr">
        <is>
          <t>Venda</t>
        </is>
      </c>
    </row>
    <row r="489">
      <c r="A489" t="inlineStr">
        <is>
          <t>2026-06-28</t>
        </is>
      </c>
      <c r="B489" t="inlineStr">
        <is>
          <t>vivareal.com.br</t>
        </is>
      </c>
      <c r="C489" t="inlineStr">
        <is>
          <t>VivaReal</t>
        </is>
      </c>
      <c r="E489" t="inlineStr">
        <is>
          <t>Terreno</t>
        </is>
      </c>
      <c r="F489" t="inlineStr">
        <is>
          <t>Cidade Jardim · Rua Pioneiro Marcos Takashi Kawamoto</t>
        </is>
      </c>
      <c r="G489" t="n">
        <v>182</v>
      </c>
      <c r="L489" t="n">
        <v>170000</v>
      </c>
      <c r="M489" t="inlineStr">
        <is>
          <t>VivaReal | id:2893063184</t>
        </is>
      </c>
      <c r="N489" t="inlineStr">
        <is>
          <t>Venda</t>
        </is>
      </c>
    </row>
    <row r="490">
      <c r="A490" t="inlineStr">
        <is>
          <t>2026-06-28</t>
        </is>
      </c>
      <c r="B490" t="inlineStr">
        <is>
          <t>vivareal.com.br</t>
        </is>
      </c>
      <c r="C490" t="inlineStr">
        <is>
          <t>VivaReal</t>
        </is>
      </c>
      <c r="E490" t="inlineStr">
        <is>
          <t>Terreno</t>
        </is>
      </c>
      <c r="F490" t="inlineStr">
        <is>
          <t>Bom Jardim · Rua Satsuki Kobayashi Tsuzuki</t>
        </is>
      </c>
      <c r="G490" t="n">
        <v>400</v>
      </c>
      <c r="L490" t="n">
        <v>380000</v>
      </c>
      <c r="M490" t="inlineStr">
        <is>
          <t>VivaReal | id:2883688406</t>
        </is>
      </c>
      <c r="N490" t="inlineStr">
        <is>
          <t>Venda</t>
        </is>
      </c>
    </row>
    <row r="491">
      <c r="A491" t="inlineStr">
        <is>
          <t>2026-06-28</t>
        </is>
      </c>
      <c r="B491" t="inlineStr">
        <is>
          <t>vivareal.com.br</t>
        </is>
      </c>
      <c r="C491" t="inlineStr">
        <is>
          <t>VivaReal</t>
        </is>
      </c>
      <c r="E491" t="inlineStr">
        <is>
          <t>Terreno</t>
        </is>
      </c>
      <c r="F491" t="inlineStr">
        <is>
          <t>Jardim São Basílio · Rua Tranquilo Morgon</t>
        </is>
      </c>
      <c r="G491" t="n">
        <v>648</v>
      </c>
      <c r="L491" t="n">
        <v>400000</v>
      </c>
      <c r="M491" t="inlineStr">
        <is>
          <t>VivaReal | id:2874593591</t>
        </is>
      </c>
      <c r="N491" t="inlineStr">
        <is>
          <t>Venda</t>
        </is>
      </c>
    </row>
    <row r="492">
      <c r="A492" t="inlineStr">
        <is>
          <t>2026-06-28</t>
        </is>
      </c>
      <c r="B492" t="inlineStr">
        <is>
          <t>vivareal.com.br</t>
        </is>
      </c>
      <c r="C492" t="inlineStr">
        <is>
          <t>VivaReal</t>
        </is>
      </c>
      <c r="E492" t="inlineStr">
        <is>
          <t>Casa</t>
        </is>
      </c>
      <c r="F492" t="inlineStr">
        <is>
          <t>Conjunto Residencial Paulino Carlos Filho · Rua Rio Amazonas</t>
        </is>
      </c>
      <c r="G492" t="n">
        <v>77</v>
      </c>
      <c r="H492" t="n">
        <v>3</v>
      </c>
      <c r="K492" t="n">
        <v>2</v>
      </c>
      <c r="L492" t="n">
        <v>380000</v>
      </c>
      <c r="M492" t="inlineStr">
        <is>
          <t>VivaReal | id:2828441917</t>
        </is>
      </c>
      <c r="N492" t="inlineStr">
        <is>
          <t>Venda</t>
        </is>
      </c>
    </row>
    <row r="493">
      <c r="A493" t="inlineStr">
        <is>
          <t>2026-06-28</t>
        </is>
      </c>
      <c r="B493" t="inlineStr">
        <is>
          <t>vivareal.com.br</t>
        </is>
      </c>
      <c r="C493" t="inlineStr">
        <is>
          <t>VivaReal</t>
        </is>
      </c>
      <c r="E493" t="inlineStr">
        <is>
          <t>Casa</t>
        </is>
      </c>
      <c r="F493" t="inlineStr">
        <is>
          <t>Jardim Aurora · Rua Pioneiro José Zara</t>
        </is>
      </c>
      <c r="G493" t="n">
        <v>99</v>
      </c>
      <c r="H493" t="n">
        <v>3</v>
      </c>
      <c r="K493" t="n">
        <v>2</v>
      </c>
      <c r="L493" t="n">
        <v>360000</v>
      </c>
      <c r="M493" t="inlineStr">
        <is>
          <t>VivaReal | id:2800676119</t>
        </is>
      </c>
      <c r="N493" t="inlineStr">
        <is>
          <t>Venda</t>
        </is>
      </c>
    </row>
    <row r="494">
      <c r="A494" t="inlineStr">
        <is>
          <t>2026-06-28</t>
        </is>
      </c>
      <c r="B494" t="inlineStr">
        <is>
          <t>vivareal.com.br</t>
        </is>
      </c>
      <c r="C494" t="inlineStr">
        <is>
          <t>VivaReal</t>
        </is>
      </c>
      <c r="E494" t="inlineStr">
        <is>
          <t>Casa</t>
        </is>
      </c>
      <c r="F494" t="inlineStr">
        <is>
          <t>Jardim Real · Avenida Doutor Alexandre Rasgulaeff</t>
        </is>
      </c>
      <c r="G494" t="n">
        <v>80</v>
      </c>
      <c r="H494" t="n">
        <v>3</v>
      </c>
      <c r="K494" t="n">
        <v>2</v>
      </c>
      <c r="L494" t="n">
        <v>450000</v>
      </c>
      <c r="M494" t="inlineStr">
        <is>
          <t>VivaReal | id:2885160860</t>
        </is>
      </c>
      <c r="N494" t="inlineStr">
        <is>
          <t>Venda</t>
        </is>
      </c>
    </row>
    <row r="495">
      <c r="A495" t="inlineStr">
        <is>
          <t>2026-06-28</t>
        </is>
      </c>
      <c r="B495" t="inlineStr">
        <is>
          <t>vivareal.com.br</t>
        </is>
      </c>
      <c r="C495" t="inlineStr">
        <is>
          <t>VivaReal</t>
        </is>
      </c>
      <c r="E495" t="inlineStr">
        <is>
          <t>Apartamento</t>
        </is>
      </c>
      <c r="F495" t="inlineStr">
        <is>
          <t>Zona 07 · Rua Rui Barbosa</t>
        </is>
      </c>
      <c r="G495" t="n">
        <v>74</v>
      </c>
      <c r="H495" t="n">
        <v>1</v>
      </c>
      <c r="K495" t="n">
        <v>1</v>
      </c>
      <c r="L495" t="n">
        <v>420000</v>
      </c>
      <c r="M495" t="inlineStr">
        <is>
          <t>VivaReal | id:2894694474</t>
        </is>
      </c>
      <c r="N495" t="inlineStr">
        <is>
          <t>Venda</t>
        </is>
      </c>
    </row>
    <row r="496">
      <c r="A496" t="inlineStr">
        <is>
          <t>2026-06-28</t>
        </is>
      </c>
      <c r="B496" t="inlineStr">
        <is>
          <t>vivareal.com.br</t>
        </is>
      </c>
      <c r="C496" t="inlineStr">
        <is>
          <t>VivaReal</t>
        </is>
      </c>
      <c r="E496" t="inlineStr">
        <is>
          <t>Terreno</t>
        </is>
      </c>
      <c r="F496" t="inlineStr">
        <is>
          <t>Giardino San Marco · Avenida Juvêncio Barbosa Silveira</t>
        </is>
      </c>
      <c r="G496" t="n">
        <v>429</v>
      </c>
      <c r="L496" t="n">
        <v>270000</v>
      </c>
      <c r="M496" t="inlineStr">
        <is>
          <t>VivaReal | id:2838603043</t>
        </is>
      </c>
      <c r="N496" t="inlineStr">
        <is>
          <t>Venda</t>
        </is>
      </c>
    </row>
    <row r="497">
      <c r="A497" t="inlineStr">
        <is>
          <t>2026-06-28</t>
        </is>
      </c>
      <c r="B497" t="inlineStr">
        <is>
          <t>vivareal.com.br</t>
        </is>
      </c>
      <c r="C497" t="inlineStr">
        <is>
          <t>VivaReal</t>
        </is>
      </c>
      <c r="E497" t="inlineStr">
        <is>
          <t>Apartamento</t>
        </is>
      </c>
      <c r="F497" t="inlineStr">
        <is>
          <t>Cidade Universitária · Avenida Alziro Zarur</t>
        </is>
      </c>
      <c r="G497" t="n">
        <v>51</v>
      </c>
      <c r="H497" t="n">
        <v>2</v>
      </c>
      <c r="K497" t="n">
        <v>1</v>
      </c>
      <c r="L497" t="n">
        <v>299999</v>
      </c>
      <c r="M497" t="inlineStr">
        <is>
          <t>VivaReal | id:2820208126</t>
        </is>
      </c>
      <c r="N497" t="inlineStr">
        <is>
          <t>Venda</t>
        </is>
      </c>
    </row>
    <row r="498">
      <c r="A498" t="inlineStr">
        <is>
          <t>2026-06-28</t>
        </is>
      </c>
      <c r="B498" t="inlineStr">
        <is>
          <t>vivareal.com.br</t>
        </is>
      </c>
      <c r="C498" t="inlineStr">
        <is>
          <t>VivaReal</t>
        </is>
      </c>
      <c r="E498" t="inlineStr">
        <is>
          <t>Apartamento</t>
        </is>
      </c>
      <c r="F498" t="inlineStr">
        <is>
          <t>Jardim Higienópolis · Avenida Arquiteto Nildo Ribeiro da Rocha</t>
        </is>
      </c>
      <c r="G498" t="n">
        <v>50</v>
      </c>
      <c r="H498" t="n">
        <v>2</v>
      </c>
      <c r="K498" t="n">
        <v>1</v>
      </c>
      <c r="L498" t="n">
        <v>458824</v>
      </c>
      <c r="M498" t="inlineStr">
        <is>
          <t>VivaReal | id:2873668186</t>
        </is>
      </c>
      <c r="N498" t="inlineStr">
        <is>
          <t>Venda</t>
        </is>
      </c>
    </row>
    <row r="499">
      <c r="A499" t="inlineStr">
        <is>
          <t>2026-06-28</t>
        </is>
      </c>
      <c r="B499" t="inlineStr">
        <is>
          <t>vivareal.com.br</t>
        </is>
      </c>
      <c r="C499" t="inlineStr">
        <is>
          <t>VivaReal</t>
        </is>
      </c>
      <c r="E499" t="inlineStr">
        <is>
          <t>Casa</t>
        </is>
      </c>
      <c r="F499" t="inlineStr">
        <is>
          <t>Jardim Dias I · Rua Pioneiro Guido Antônio Germani</t>
        </is>
      </c>
      <c r="G499" t="n">
        <v>108</v>
      </c>
      <c r="H499" t="n">
        <v>3</v>
      </c>
      <c r="K499" t="n">
        <v>3</v>
      </c>
      <c r="L499" t="n">
        <v>470000</v>
      </c>
      <c r="M499" t="inlineStr">
        <is>
          <t>VivaReal | id:2887851897</t>
        </is>
      </c>
      <c r="N499" t="inlineStr">
        <is>
          <t>Venda</t>
        </is>
      </c>
    </row>
    <row r="500">
      <c r="A500" t="inlineStr">
        <is>
          <t>2026-06-28</t>
        </is>
      </c>
      <c r="B500" t="inlineStr">
        <is>
          <t>vivareal.com.br</t>
        </is>
      </c>
      <c r="C500" t="inlineStr">
        <is>
          <t>VivaReal</t>
        </is>
      </c>
      <c r="E500" t="inlineStr">
        <is>
          <t>Casa</t>
        </is>
      </c>
      <c r="F500" t="inlineStr">
        <is>
          <t>Conjunto Habitacional Karina · Rua Vitório Sambatti</t>
        </is>
      </c>
      <c r="G500" t="n">
        <v>105</v>
      </c>
      <c r="H500" t="n">
        <v>3</v>
      </c>
      <c r="K500" t="n">
        <v>2</v>
      </c>
      <c r="L500" t="n">
        <v>570000</v>
      </c>
      <c r="M500" t="inlineStr">
        <is>
          <t>VivaReal | id:2886950106</t>
        </is>
      </c>
      <c r="N500" t="inlineStr">
        <is>
          <t>Venda</t>
        </is>
      </c>
    </row>
    <row r="501">
      <c r="A501" t="inlineStr">
        <is>
          <t>2026-06-28</t>
        </is>
      </c>
      <c r="B501" t="inlineStr">
        <is>
          <t>vivareal.com.br</t>
        </is>
      </c>
      <c r="C501" t="inlineStr">
        <is>
          <t>VivaReal</t>
        </is>
      </c>
      <c r="E501" t="inlineStr">
        <is>
          <t>Casa</t>
        </is>
      </c>
      <c r="F501" t="inlineStr">
        <is>
          <t>Conjunto Habitacional Joao De Barro Thais</t>
        </is>
      </c>
      <c r="G501" t="n">
        <v>150</v>
      </c>
      <c r="H501" t="n">
        <v>3</v>
      </c>
      <c r="K501" t="n">
        <v>3</v>
      </c>
      <c r="L501" t="n">
        <v>550000</v>
      </c>
      <c r="M501" t="inlineStr">
        <is>
          <t>VivaReal | id:2883512674</t>
        </is>
      </c>
      <c r="N501" t="inlineStr">
        <is>
          <t>Venda</t>
        </is>
      </c>
    </row>
    <row r="502">
      <c r="A502" t="inlineStr">
        <is>
          <t>2026-06-28</t>
        </is>
      </c>
      <c r="B502" t="inlineStr">
        <is>
          <t>vivareal.com.br</t>
        </is>
      </c>
      <c r="C502" t="inlineStr">
        <is>
          <t>VivaReal</t>
        </is>
      </c>
      <c r="E502" t="inlineStr">
        <is>
          <t>Terreno</t>
        </is>
      </c>
      <c r="F502" t="inlineStr">
        <is>
          <t>Jardim Espanha · Rua Pioneiro Exaltino Pereira Boa Sorte</t>
        </is>
      </c>
      <c r="G502" t="n">
        <v>314</v>
      </c>
      <c r="L502" t="n">
        <v>280000</v>
      </c>
      <c r="M502" t="inlineStr">
        <is>
          <t>VivaReal | id:2840157333</t>
        </is>
      </c>
      <c r="N502" t="inlineStr">
        <is>
          <t>Venda</t>
        </is>
      </c>
    </row>
    <row r="503">
      <c r="A503" t="inlineStr">
        <is>
          <t>2026-06-28</t>
        </is>
      </c>
      <c r="B503" t="inlineStr">
        <is>
          <t>vivareal.com.br</t>
        </is>
      </c>
      <c r="C503" t="inlineStr">
        <is>
          <t>VivaReal</t>
        </is>
      </c>
      <c r="E503" t="inlineStr">
        <is>
          <t>Terreno</t>
        </is>
      </c>
      <c r="F503" t="inlineStr">
        <is>
          <t>Zona 01 · Avenida Getúlio Vargas</t>
        </is>
      </c>
      <c r="G503" t="n">
        <v>39</v>
      </c>
      <c r="L503" t="n">
        <v>125000</v>
      </c>
      <c r="M503" t="inlineStr">
        <is>
          <t>VivaReal | id:2872781108</t>
        </is>
      </c>
      <c r="N503" t="inlineStr">
        <is>
          <t>Venda</t>
        </is>
      </c>
    </row>
    <row r="504">
      <c r="A504" t="inlineStr">
        <is>
          <t>2026-06-28</t>
        </is>
      </c>
      <c r="B504" t="inlineStr">
        <is>
          <t>vivareal.com.br</t>
        </is>
      </c>
      <c r="C504" t="inlineStr">
        <is>
          <t>VivaReal</t>
        </is>
      </c>
      <c r="E504" t="inlineStr">
        <is>
          <t>Apartamento</t>
        </is>
      </c>
      <c r="F504" t="inlineStr">
        <is>
          <t>Jardim Aclimação · Rua Ernesto Mariucci</t>
        </is>
      </c>
      <c r="G504" t="n">
        <v>54</v>
      </c>
      <c r="H504" t="n">
        <v>2</v>
      </c>
      <c r="K504" t="n">
        <v>1</v>
      </c>
      <c r="L504" t="n">
        <v>499000</v>
      </c>
      <c r="M504" t="inlineStr">
        <is>
          <t>VivaReal | id:2875069174</t>
        </is>
      </c>
      <c r="N504" t="inlineStr">
        <is>
          <t>Venda</t>
        </is>
      </c>
    </row>
    <row r="505">
      <c r="A505" t="inlineStr">
        <is>
          <t>2026-06-28</t>
        </is>
      </c>
      <c r="B505" t="inlineStr">
        <is>
          <t>vivareal.com.br</t>
        </is>
      </c>
      <c r="C505" t="inlineStr">
        <is>
          <t>VivaReal</t>
        </is>
      </c>
      <c r="E505" t="inlineStr">
        <is>
          <t>Casa</t>
        </is>
      </c>
      <c r="F505" t="inlineStr">
        <is>
          <t>Bom Jardim · Rua Vila Rica</t>
        </is>
      </c>
      <c r="G505" t="n">
        <v>91</v>
      </c>
      <c r="H505" t="n">
        <v>3</v>
      </c>
      <c r="K505" t="n">
        <v>3</v>
      </c>
      <c r="L505" t="n">
        <v>550000</v>
      </c>
      <c r="M505" t="inlineStr">
        <is>
          <t>VivaReal | id:2826511721</t>
        </is>
      </c>
      <c r="N505" t="inlineStr">
        <is>
          <t>Venda</t>
        </is>
      </c>
    </row>
    <row r="506">
      <c r="A506" t="inlineStr">
        <is>
          <t>2026-06-28</t>
        </is>
      </c>
      <c r="B506" t="inlineStr">
        <is>
          <t>vivareal.com.br</t>
        </is>
      </c>
      <c r="C506" t="inlineStr">
        <is>
          <t>VivaReal</t>
        </is>
      </c>
      <c r="E506" t="inlineStr">
        <is>
          <t>Casa</t>
        </is>
      </c>
      <c r="F506" t="inlineStr">
        <is>
          <t>Jardim Diamante</t>
        </is>
      </c>
      <c r="G506" t="n">
        <v>139</v>
      </c>
      <c r="H506" t="n">
        <v>3</v>
      </c>
      <c r="K506" t="n">
        <v>2</v>
      </c>
      <c r="L506" t="n">
        <v>630000</v>
      </c>
      <c r="M506" t="inlineStr">
        <is>
          <t>VivaReal | id:2880282685</t>
        </is>
      </c>
      <c r="N506" t="inlineStr">
        <is>
          <t>Venda</t>
        </is>
      </c>
    </row>
    <row r="507">
      <c r="A507" t="inlineStr">
        <is>
          <t>2026-06-28</t>
        </is>
      </c>
      <c r="B507" t="inlineStr">
        <is>
          <t>vivareal.com.br</t>
        </is>
      </c>
      <c r="C507" t="inlineStr">
        <is>
          <t>VivaReal</t>
        </is>
      </c>
      <c r="E507" t="inlineStr">
        <is>
          <t>Casa</t>
        </is>
      </c>
      <c r="F507" t="inlineStr">
        <is>
          <t>Conjunto Residencial Ney Braga · Avenida Alziro Zarur</t>
        </is>
      </c>
      <c r="G507" t="n">
        <v>85</v>
      </c>
      <c r="H507" t="n">
        <v>3</v>
      </c>
      <c r="K507" t="n">
        <v>2</v>
      </c>
      <c r="L507" t="n">
        <v>480000</v>
      </c>
      <c r="M507" t="inlineStr">
        <is>
          <t>VivaReal | id:2885436628</t>
        </is>
      </c>
      <c r="N507" t="inlineStr">
        <is>
          <t>Venda</t>
        </is>
      </c>
    </row>
    <row r="508">
      <c r="A508" t="inlineStr">
        <is>
          <t>2026-06-28</t>
        </is>
      </c>
      <c r="B508" t="inlineStr">
        <is>
          <t>vivareal.com.br</t>
        </is>
      </c>
      <c r="C508" t="inlineStr">
        <is>
          <t>VivaReal</t>
        </is>
      </c>
      <c r="E508" t="inlineStr">
        <is>
          <t>Apartamento</t>
        </is>
      </c>
      <c r="F508" t="inlineStr">
        <is>
          <t>Zona 07 · Rua José Clemente</t>
        </is>
      </c>
      <c r="G508" t="n">
        <v>87</v>
      </c>
      <c r="H508" t="n">
        <v>2</v>
      </c>
      <c r="K508" t="n">
        <v>1</v>
      </c>
      <c r="L508" t="n">
        <v>390000</v>
      </c>
      <c r="M508" t="inlineStr">
        <is>
          <t>VivaReal | id:2877105980</t>
        </is>
      </c>
      <c r="N508" t="inlineStr">
        <is>
          <t>Venda</t>
        </is>
      </c>
    </row>
    <row r="509">
      <c r="A509" t="inlineStr">
        <is>
          <t>2026-06-28</t>
        </is>
      </c>
      <c r="B509" t="inlineStr">
        <is>
          <t>vivareal.com.br</t>
        </is>
      </c>
      <c r="C509" t="inlineStr">
        <is>
          <t>VivaReal</t>
        </is>
      </c>
      <c r="E509" t="inlineStr">
        <is>
          <t>Apartamento</t>
        </is>
      </c>
      <c r="F509" t="inlineStr">
        <is>
          <t>Eurogarden · Avenida Sônia Regina Guerra Nogaroli</t>
        </is>
      </c>
      <c r="G509" t="n">
        <v>49</v>
      </c>
      <c r="H509" t="n">
        <v>1</v>
      </c>
      <c r="K509" t="n">
        <v>1</v>
      </c>
      <c r="L509" t="n">
        <v>120000</v>
      </c>
      <c r="M509" t="inlineStr">
        <is>
          <t>VivaReal | id:2876988046</t>
        </is>
      </c>
      <c r="N509" t="inlineStr">
        <is>
          <t>Venda</t>
        </is>
      </c>
    </row>
    <row r="510">
      <c r="A510" t="inlineStr">
        <is>
          <t>2026-06-28</t>
        </is>
      </c>
      <c r="B510" t="inlineStr">
        <is>
          <t>vivareal.com.br</t>
        </is>
      </c>
      <c r="C510" t="inlineStr">
        <is>
          <t>VivaReal</t>
        </is>
      </c>
      <c r="E510" t="inlineStr">
        <is>
          <t>Casa</t>
        </is>
      </c>
      <c r="F510" t="inlineStr">
        <is>
          <t>Loteamento Sumaré · Rua Pioneiro Hélio dos Reis Figueiredo</t>
        </is>
      </c>
      <c r="G510" t="n">
        <v>101</v>
      </c>
      <c r="H510" t="n">
        <v>3</v>
      </c>
      <c r="K510" t="n">
        <v>2</v>
      </c>
      <c r="L510" t="n">
        <v>400000</v>
      </c>
      <c r="M510" t="inlineStr">
        <is>
          <t>VivaReal | id:2878183729</t>
        </is>
      </c>
      <c r="N510" t="inlineStr">
        <is>
          <t>Venda</t>
        </is>
      </c>
    </row>
    <row r="511">
      <c r="A511" t="inlineStr">
        <is>
          <t>2026-06-28</t>
        </is>
      </c>
      <c r="B511" t="inlineStr">
        <is>
          <t>vivareal.com.br</t>
        </is>
      </c>
      <c r="C511" t="inlineStr">
        <is>
          <t>VivaReal</t>
        </is>
      </c>
      <c r="E511" t="inlineStr">
        <is>
          <t>Terreno</t>
        </is>
      </c>
      <c r="F511" t="inlineStr">
        <is>
          <t>Jardim Barcelona · Rua Pioneiro Sixto Polo</t>
        </is>
      </c>
      <c r="G511" t="n">
        <v>400</v>
      </c>
      <c r="L511" t="n">
        <v>220000</v>
      </c>
      <c r="M511" t="inlineStr">
        <is>
          <t>VivaReal | id:2876980389</t>
        </is>
      </c>
      <c r="N511" t="inlineStr">
        <is>
          <t>Venda</t>
        </is>
      </c>
    </row>
    <row r="512">
      <c r="A512" t="inlineStr">
        <is>
          <t>2026-06-28</t>
        </is>
      </c>
      <c r="B512" t="inlineStr">
        <is>
          <t>vivareal.com.br</t>
        </is>
      </c>
      <c r="C512" t="inlineStr">
        <is>
          <t>VivaReal</t>
        </is>
      </c>
      <c r="E512" t="inlineStr">
        <is>
          <t>Terreno</t>
        </is>
      </c>
      <c r="F512" t="inlineStr">
        <is>
          <t>Parque Industrial 200 · Rodovia PR-317</t>
        </is>
      </c>
      <c r="G512" t="n">
        <v>480</v>
      </c>
      <c r="L512" t="n">
        <v>518000</v>
      </c>
      <c r="M512" t="inlineStr">
        <is>
          <t>VivaReal | id:2821104153</t>
        </is>
      </c>
      <c r="N512" t="inlineStr">
        <is>
          <t>Venda</t>
        </is>
      </c>
    </row>
    <row r="513">
      <c r="A513" t="inlineStr">
        <is>
          <t>2026-06-28</t>
        </is>
      </c>
      <c r="B513" t="inlineStr">
        <is>
          <t>vivareal.com.br</t>
        </is>
      </c>
      <c r="C513" t="inlineStr">
        <is>
          <t>VivaReal</t>
        </is>
      </c>
      <c r="E513" t="inlineStr">
        <is>
          <t>Terreno</t>
        </is>
      </c>
      <c r="F513" t="inlineStr">
        <is>
          <t>Jardim Universo · Rua Pioneiro Mário Marangoni</t>
        </is>
      </c>
      <c r="G513" t="n">
        <v>325</v>
      </c>
      <c r="L513" t="n">
        <v>260000</v>
      </c>
      <c r="M513" t="inlineStr">
        <is>
          <t>VivaReal | id:2833402657</t>
        </is>
      </c>
      <c r="N513" t="inlineStr">
        <is>
          <t>Venda</t>
        </is>
      </c>
    </row>
    <row r="514">
      <c r="A514" t="inlineStr">
        <is>
          <t>2026-06-28</t>
        </is>
      </c>
      <c r="B514" t="inlineStr">
        <is>
          <t>vivareal.com.br</t>
        </is>
      </c>
      <c r="C514" t="inlineStr">
        <is>
          <t>VivaReal</t>
        </is>
      </c>
      <c r="E514" t="inlineStr">
        <is>
          <t>Casa</t>
        </is>
      </c>
      <c r="F514" t="inlineStr">
        <is>
          <t>Conjunto Habitacional Requião · Rua Monsenhor Fritz</t>
        </is>
      </c>
      <c r="G514" t="n">
        <v>99</v>
      </c>
      <c r="H514" t="n">
        <v>3</v>
      </c>
      <c r="L514" t="n">
        <v>350000</v>
      </c>
      <c r="M514" t="inlineStr">
        <is>
          <t>VivaReal | id:2805820217</t>
        </is>
      </c>
      <c r="N514" t="inlineStr">
        <is>
          <t>Venda</t>
        </is>
      </c>
    </row>
    <row r="515">
      <c r="A515" t="inlineStr">
        <is>
          <t>2026-06-28</t>
        </is>
      </c>
      <c r="B515" t="inlineStr">
        <is>
          <t>vivareal.com.br</t>
        </is>
      </c>
      <c r="C515" t="inlineStr">
        <is>
          <t>VivaReal</t>
        </is>
      </c>
      <c r="E515" t="inlineStr">
        <is>
          <t>Imóvel Comercial</t>
        </is>
      </c>
      <c r="F515" t="inlineStr">
        <is>
          <t>Loteamento Grajau</t>
        </is>
      </c>
      <c r="G515" t="n">
        <v>270</v>
      </c>
      <c r="H515" t="n">
        <v>4</v>
      </c>
      <c r="K515" t="n">
        <v>4</v>
      </c>
      <c r="L515" t="n">
        <v>620000</v>
      </c>
      <c r="M515" t="inlineStr">
        <is>
          <t>VivaReal | id:2859601671</t>
        </is>
      </c>
      <c r="N515" t="inlineStr">
        <is>
          <t>Venda</t>
        </is>
      </c>
    </row>
    <row r="516">
      <c r="A516" t="inlineStr">
        <is>
          <t>2026-06-28</t>
        </is>
      </c>
      <c r="B516" t="inlineStr">
        <is>
          <t>vivareal.com.br</t>
        </is>
      </c>
      <c r="C516" t="inlineStr">
        <is>
          <t>VivaReal</t>
        </is>
      </c>
      <c r="E516" t="inlineStr">
        <is>
          <t>Casa</t>
        </is>
      </c>
      <c r="F516" t="inlineStr">
        <is>
          <t>Jardim Dias II · Rua Domingos Dotta</t>
        </is>
      </c>
      <c r="G516" t="n">
        <v>99</v>
      </c>
      <c r="H516" t="n">
        <v>3</v>
      </c>
      <c r="K516" t="n">
        <v>2</v>
      </c>
      <c r="L516" t="n">
        <v>475000</v>
      </c>
      <c r="M516" t="inlineStr">
        <is>
          <t>VivaReal | id:2888328574</t>
        </is>
      </c>
      <c r="N516" t="inlineStr">
        <is>
          <t>Venda</t>
        </is>
      </c>
    </row>
    <row r="517">
      <c r="A517" t="inlineStr">
        <is>
          <t>2026-06-28</t>
        </is>
      </c>
      <c r="B517" t="inlineStr">
        <is>
          <t>vivareal.com.br</t>
        </is>
      </c>
      <c r="C517" t="inlineStr">
        <is>
          <t>VivaReal</t>
        </is>
      </c>
      <c r="E517" t="inlineStr">
        <is>
          <t>Terreno</t>
        </is>
      </c>
      <c r="F517" t="inlineStr">
        <is>
          <t>Conjunto Habitacional Requião · Rua Arlindo Urgnani</t>
        </is>
      </c>
      <c r="G517" t="n">
        <v>400</v>
      </c>
      <c r="L517" t="n">
        <v>329091</v>
      </c>
      <c r="M517" t="inlineStr">
        <is>
          <t>VivaReal | id:2811816017</t>
        </is>
      </c>
      <c r="N517" t="inlineStr">
        <is>
          <t>Venda</t>
        </is>
      </c>
    </row>
    <row r="518">
      <c r="A518" t="inlineStr">
        <is>
          <t>2026-06-28</t>
        </is>
      </c>
      <c r="B518" t="inlineStr">
        <is>
          <t>vivareal.com.br</t>
        </is>
      </c>
      <c r="C518" t="inlineStr">
        <is>
          <t>VivaReal</t>
        </is>
      </c>
      <c r="E518" t="inlineStr">
        <is>
          <t>Terreno</t>
        </is>
      </c>
      <c r="F518" t="inlineStr">
        <is>
          <t>Parque Taruma</t>
        </is>
      </c>
      <c r="G518" t="n">
        <v>171</v>
      </c>
      <c r="L518" t="n">
        <v>174000</v>
      </c>
      <c r="M518" t="inlineStr">
        <is>
          <t>VivaReal | id:2893573129</t>
        </is>
      </c>
      <c r="N518" t="inlineStr">
        <is>
          <t>Venda</t>
        </is>
      </c>
    </row>
    <row r="519">
      <c r="A519" t="inlineStr">
        <is>
          <t>2026-06-28</t>
        </is>
      </c>
      <c r="B519" t="inlineStr">
        <is>
          <t>vivareal.com.br</t>
        </is>
      </c>
      <c r="C519" t="inlineStr">
        <is>
          <t>VivaReal</t>
        </is>
      </c>
      <c r="E519" t="inlineStr">
        <is>
          <t>Casa</t>
        </is>
      </c>
      <c r="F519" t="inlineStr">
        <is>
          <t>Jardim São Jorge · Rua Santa Guilhermina</t>
        </is>
      </c>
      <c r="G519" t="n">
        <v>101</v>
      </c>
      <c r="H519" t="n">
        <v>3</v>
      </c>
      <c r="K519" t="n">
        <v>1</v>
      </c>
      <c r="L519" t="n">
        <v>480000</v>
      </c>
      <c r="M519" t="inlineStr">
        <is>
          <t>VivaReal | id:2869256295</t>
        </is>
      </c>
      <c r="N519" t="inlineStr">
        <is>
          <t>Venda</t>
        </is>
      </c>
    </row>
    <row r="520">
      <c r="A520" t="inlineStr">
        <is>
          <t>2026-06-28</t>
        </is>
      </c>
      <c r="B520" t="inlineStr">
        <is>
          <t>vivareal.com.br</t>
        </is>
      </c>
      <c r="C520" t="inlineStr">
        <is>
          <t>VivaReal</t>
        </is>
      </c>
      <c r="E520" t="inlineStr">
        <is>
          <t>Terreno</t>
        </is>
      </c>
      <c r="F520" t="inlineStr">
        <is>
          <t>Jardins de Monet Residence · Estrada Romeirinha</t>
        </is>
      </c>
      <c r="G520" t="n">
        <v>979</v>
      </c>
      <c r="L520" t="n">
        <v>1060000</v>
      </c>
      <c r="M520" t="inlineStr">
        <is>
          <t>VivaReal | id:2782163333</t>
        </is>
      </c>
      <c r="N520" t="inlineStr">
        <is>
          <t>Venda</t>
        </is>
      </c>
    </row>
    <row r="521">
      <c r="A521" t="inlineStr">
        <is>
          <t>2026-06-28</t>
        </is>
      </c>
      <c r="B521" t="inlineStr">
        <is>
          <t>vivareal.com.br</t>
        </is>
      </c>
      <c r="C521" t="inlineStr">
        <is>
          <t>VivaReal</t>
        </is>
      </c>
      <c r="E521" t="inlineStr">
        <is>
          <t>Casa</t>
        </is>
      </c>
      <c r="F521" t="inlineStr">
        <is>
          <t>Jardim Três Lagoas · Rua Miguel Romeiro</t>
        </is>
      </c>
      <c r="G521" t="n">
        <v>114</v>
      </c>
      <c r="H521" t="n">
        <v>3</v>
      </c>
      <c r="K521" t="n">
        <v>4</v>
      </c>
      <c r="L521" t="n">
        <v>525000</v>
      </c>
      <c r="M521" t="inlineStr">
        <is>
          <t>VivaReal | id:2885166676</t>
        </is>
      </c>
      <c r="N521" t="inlineStr">
        <is>
          <t>Venda</t>
        </is>
      </c>
    </row>
    <row r="522">
      <c r="A522" t="inlineStr">
        <is>
          <t>2026-06-28</t>
        </is>
      </c>
      <c r="B522" t="inlineStr">
        <is>
          <t>vivareal.com.br</t>
        </is>
      </c>
      <c r="C522" t="inlineStr">
        <is>
          <t>VivaReal</t>
        </is>
      </c>
      <c r="E522" t="inlineStr">
        <is>
          <t>Casa</t>
        </is>
      </c>
      <c r="F522" t="inlineStr">
        <is>
          <t>Jardim Liberdade · Rua Pioneiro Carlos Poppi</t>
        </is>
      </c>
      <c r="G522" t="n">
        <v>140</v>
      </c>
      <c r="H522" t="n">
        <v>3</v>
      </c>
      <c r="K522" t="n">
        <v>2</v>
      </c>
      <c r="L522" t="n">
        <v>950000</v>
      </c>
      <c r="M522" t="inlineStr">
        <is>
          <t>VivaReal | id:2651445446</t>
        </is>
      </c>
      <c r="N522" t="inlineStr">
        <is>
          <t>Venda</t>
        </is>
      </c>
    </row>
    <row r="523">
      <c r="A523" t="inlineStr">
        <is>
          <t>2026-06-28</t>
        </is>
      </c>
      <c r="B523" t="inlineStr">
        <is>
          <t>vivareal.com.br</t>
        </is>
      </c>
      <c r="C523" t="inlineStr">
        <is>
          <t>VivaReal</t>
        </is>
      </c>
      <c r="E523" t="inlineStr">
        <is>
          <t>Apartamento</t>
        </is>
      </c>
      <c r="F523" t="inlineStr">
        <is>
          <t>Jardim Cerro Azul · Rua Pioneiro Waldemar Lingiardi</t>
        </is>
      </c>
      <c r="G523" t="n">
        <v>85</v>
      </c>
      <c r="H523" t="n">
        <v>3</v>
      </c>
      <c r="K523" t="n">
        <v>2</v>
      </c>
      <c r="L523" t="n">
        <v>579000</v>
      </c>
      <c r="M523" t="inlineStr">
        <is>
          <t>VivaReal | id:2769862114</t>
        </is>
      </c>
      <c r="N523" t="inlineStr">
        <is>
          <t>Venda</t>
        </is>
      </c>
    </row>
    <row r="524">
      <c r="A524" t="inlineStr">
        <is>
          <t>2026-06-28</t>
        </is>
      </c>
      <c r="B524" t="inlineStr">
        <is>
          <t>vivareal.com.br</t>
        </is>
      </c>
      <c r="C524" t="inlineStr">
        <is>
          <t>VivaReal</t>
        </is>
      </c>
      <c r="E524" t="inlineStr">
        <is>
          <t>Terreno</t>
        </is>
      </c>
      <c r="F524" t="inlineStr">
        <is>
          <t>Jardim Dias I · Rua Pioneiro Salvador Ludovico Mazzer</t>
        </is>
      </c>
      <c r="G524" t="n">
        <v>300</v>
      </c>
      <c r="L524" t="n">
        <v>330000</v>
      </c>
      <c r="M524" t="inlineStr">
        <is>
          <t>VivaReal | id:2852575724</t>
        </is>
      </c>
      <c r="N524" t="inlineStr">
        <is>
          <t>Venda</t>
        </is>
      </c>
    </row>
    <row r="525">
      <c r="A525" t="inlineStr">
        <is>
          <t>2026-06-28</t>
        </is>
      </c>
      <c r="B525" t="inlineStr">
        <is>
          <t>vivareal.com.br</t>
        </is>
      </c>
      <c r="C525" t="inlineStr">
        <is>
          <t>VivaReal</t>
        </is>
      </c>
      <c r="E525" t="inlineStr">
        <is>
          <t>Apartamento</t>
        </is>
      </c>
      <c r="F525" t="inlineStr">
        <is>
          <t>Zona 08 · Avenida Londrina</t>
        </is>
      </c>
      <c r="G525" t="n">
        <v>75</v>
      </c>
      <c r="H525" t="n">
        <v>2</v>
      </c>
      <c r="K525" t="n">
        <v>1</v>
      </c>
      <c r="L525" t="n">
        <v>610000</v>
      </c>
      <c r="M525" t="inlineStr">
        <is>
          <t>VivaReal | id:2832295368</t>
        </is>
      </c>
      <c r="N525" t="inlineStr">
        <is>
          <t>Venda</t>
        </is>
      </c>
    </row>
    <row r="526">
      <c r="A526" t="inlineStr">
        <is>
          <t>2026-06-28</t>
        </is>
      </c>
      <c r="B526" t="inlineStr">
        <is>
          <t>vivareal.com.br</t>
        </is>
      </c>
      <c r="C526" t="inlineStr">
        <is>
          <t>VivaReal</t>
        </is>
      </c>
      <c r="E526" t="inlineStr">
        <is>
          <t>Apartamento</t>
        </is>
      </c>
      <c r="F526" t="inlineStr">
        <is>
          <t>Zona 03 · Avenida Mauá</t>
        </is>
      </c>
      <c r="G526" t="n">
        <v>58</v>
      </c>
      <c r="H526" t="n">
        <v>2</v>
      </c>
      <c r="K526" t="n">
        <v>2</v>
      </c>
      <c r="L526" t="n">
        <v>550000</v>
      </c>
      <c r="M526" t="inlineStr">
        <is>
          <t>VivaReal | id:2888837081</t>
        </is>
      </c>
      <c r="N526" t="inlineStr">
        <is>
          <t>Venda</t>
        </is>
      </c>
    </row>
    <row r="527">
      <c r="A527" t="inlineStr">
        <is>
          <t>2026-06-28</t>
        </is>
      </c>
      <c r="B527" t="inlineStr">
        <is>
          <t>vivareal.com.br</t>
        </is>
      </c>
      <c r="C527" t="inlineStr">
        <is>
          <t>VivaReal</t>
        </is>
      </c>
      <c r="E527" t="inlineStr">
        <is>
          <t>Apartamento</t>
        </is>
      </c>
      <c r="F527" t="inlineStr">
        <is>
          <t>Parque Industrial · Rua Tulipa</t>
        </is>
      </c>
      <c r="G527" t="n">
        <v>43</v>
      </c>
      <c r="H527" t="n">
        <v>2</v>
      </c>
      <c r="K527" t="n">
        <v>1</v>
      </c>
      <c r="L527" t="n">
        <v>260000</v>
      </c>
      <c r="M527" t="inlineStr">
        <is>
          <t>VivaReal | id:2843261214</t>
        </is>
      </c>
      <c r="N527" t="inlineStr">
        <is>
          <t>Venda</t>
        </is>
      </c>
    </row>
    <row r="528">
      <c r="A528" t="inlineStr">
        <is>
          <t>2026-06-28</t>
        </is>
      </c>
      <c r="B528" t="inlineStr">
        <is>
          <t>vivareal.com.br</t>
        </is>
      </c>
      <c r="C528" t="inlineStr">
        <is>
          <t>VivaReal</t>
        </is>
      </c>
      <c r="E528" t="inlineStr">
        <is>
          <t>Terreno</t>
        </is>
      </c>
      <c r="F528" t="inlineStr">
        <is>
          <t>Gleba Ribeirão Morangueiro · Rodovia PR 317</t>
        </is>
      </c>
      <c r="G528" t="n">
        <v>618</v>
      </c>
      <c r="L528" t="n">
        <v>600000</v>
      </c>
      <c r="M528" t="inlineStr">
        <is>
          <t>VivaReal | id:2879611353</t>
        </is>
      </c>
      <c r="N528" t="inlineStr">
        <is>
          <t>Venda</t>
        </is>
      </c>
    </row>
    <row r="529">
      <c r="A529" t="inlineStr">
        <is>
          <t>2026-06-28</t>
        </is>
      </c>
      <c r="B529" t="inlineStr">
        <is>
          <t>vivareal.com.br</t>
        </is>
      </c>
      <c r="C529" t="inlineStr">
        <is>
          <t>VivaReal</t>
        </is>
      </c>
      <c r="E529" t="inlineStr">
        <is>
          <t>Casa</t>
        </is>
      </c>
      <c r="F529" t="inlineStr">
        <is>
          <t>Jardim Rebouças · Rua Pioneiro Salvador Kessa</t>
        </is>
      </c>
      <c r="G529" t="n">
        <v>150</v>
      </c>
      <c r="H529" t="n">
        <v>3</v>
      </c>
      <c r="K529" t="n">
        <v>3</v>
      </c>
      <c r="L529" t="n">
        <v>430000</v>
      </c>
      <c r="M529" t="inlineStr">
        <is>
          <t>VivaReal | id:2813668443</t>
        </is>
      </c>
      <c r="N529" t="inlineStr">
        <is>
          <t>Venda</t>
        </is>
      </c>
    </row>
    <row r="530">
      <c r="A530" t="inlineStr">
        <is>
          <t>2026-06-28</t>
        </is>
      </c>
      <c r="B530" t="inlineStr">
        <is>
          <t>vivareal.com.br</t>
        </is>
      </c>
      <c r="C530" t="inlineStr">
        <is>
          <t>VivaReal</t>
        </is>
      </c>
      <c r="E530" t="inlineStr">
        <is>
          <t>Casa</t>
        </is>
      </c>
      <c r="F530" t="inlineStr">
        <is>
          <t>Loteamento Batel · Rua Rodrigo Jacques</t>
        </is>
      </c>
      <c r="G530" t="n">
        <v>100</v>
      </c>
      <c r="H530" t="n">
        <v>3</v>
      </c>
      <c r="K530" t="n">
        <v>2</v>
      </c>
      <c r="L530" t="n">
        <v>380000</v>
      </c>
      <c r="M530" t="inlineStr">
        <is>
          <t>VivaReal | id:2843135316</t>
        </is>
      </c>
      <c r="N530" t="inlineStr">
        <is>
          <t>Venda</t>
        </is>
      </c>
    </row>
    <row r="531">
      <c r="A531" t="inlineStr">
        <is>
          <t>2026-06-28</t>
        </is>
      </c>
      <c r="B531" t="inlineStr">
        <is>
          <t>vivareal.com.br</t>
        </is>
      </c>
      <c r="C531" t="inlineStr">
        <is>
          <t>VivaReal</t>
        </is>
      </c>
      <c r="E531" t="inlineStr">
        <is>
          <t>Terreno</t>
        </is>
      </c>
      <c r="F531" t="inlineStr">
        <is>
          <t>Jardim Munique · Rua Deodoro Alves de Carvalho</t>
        </is>
      </c>
      <c r="G531" t="n">
        <v>400</v>
      </c>
      <c r="L531" t="n">
        <v>420000</v>
      </c>
      <c r="M531" t="inlineStr">
        <is>
          <t>VivaReal | id:2886952206</t>
        </is>
      </c>
      <c r="N531" t="inlineStr">
        <is>
          <t>Venda</t>
        </is>
      </c>
    </row>
    <row r="532">
      <c r="A532" t="inlineStr">
        <is>
          <t>2026-06-28</t>
        </is>
      </c>
      <c r="B532" t="inlineStr">
        <is>
          <t>vivareal.com.br</t>
        </is>
      </c>
      <c r="C532" t="inlineStr">
        <is>
          <t>VivaReal</t>
        </is>
      </c>
      <c r="E532" t="inlineStr">
        <is>
          <t>Casa</t>
        </is>
      </c>
      <c r="F532" t="inlineStr">
        <is>
          <t>Conjunto Residencial Branca Vieira · Rua Rio Paranapanema</t>
        </is>
      </c>
      <c r="G532" t="n">
        <v>137</v>
      </c>
      <c r="H532" t="n">
        <v>3</v>
      </c>
      <c r="K532" t="n">
        <v>2</v>
      </c>
      <c r="L532" t="n">
        <v>349900</v>
      </c>
      <c r="M532" t="inlineStr">
        <is>
          <t>VivaReal | id:2871350326</t>
        </is>
      </c>
      <c r="N532" t="inlineStr">
        <is>
          <t>Venda</t>
        </is>
      </c>
    </row>
    <row r="533">
      <c r="A533" t="inlineStr">
        <is>
          <t>2026-06-28</t>
        </is>
      </c>
      <c r="B533" t="inlineStr">
        <is>
          <t>vivareal.com.br</t>
        </is>
      </c>
      <c r="C533" t="inlineStr">
        <is>
          <t>VivaReal</t>
        </is>
      </c>
      <c r="E533" t="inlineStr">
        <is>
          <t>Terreno</t>
        </is>
      </c>
      <c r="F533" t="inlineStr">
        <is>
          <t>Jardim Licce · Rua Ivaldo Borges Horta</t>
        </is>
      </c>
      <c r="G533" t="n">
        <v>300</v>
      </c>
      <c r="L533" t="n">
        <v>320000</v>
      </c>
      <c r="M533" t="inlineStr">
        <is>
          <t>VivaReal | id:2884459982</t>
        </is>
      </c>
      <c r="N533" t="inlineStr">
        <is>
          <t>Venda</t>
        </is>
      </c>
    </row>
    <row r="534">
      <c r="A534" t="inlineStr">
        <is>
          <t>2026-06-28</t>
        </is>
      </c>
      <c r="B534" t="inlineStr">
        <is>
          <t>vivareal.com.br</t>
        </is>
      </c>
      <c r="C534" t="inlineStr">
        <is>
          <t>VivaReal</t>
        </is>
      </c>
      <c r="E534" t="inlineStr">
        <is>
          <t>Apartamento</t>
        </is>
      </c>
      <c r="F534" t="inlineStr">
        <is>
          <t>Chácara Paulista · Rua Doutor Saulo Porto Virmond</t>
        </is>
      </c>
      <c r="G534" t="n">
        <v>94</v>
      </c>
      <c r="H534" t="n">
        <v>3</v>
      </c>
      <c r="K534" t="n">
        <v>1</v>
      </c>
      <c r="L534" t="n">
        <v>420000</v>
      </c>
      <c r="M534" t="inlineStr">
        <is>
          <t>VivaReal | id:2849300256</t>
        </is>
      </c>
      <c r="N534" t="inlineStr">
        <is>
          <t>Venda</t>
        </is>
      </c>
    </row>
    <row r="535">
      <c r="A535" t="inlineStr">
        <is>
          <t>2026-06-28</t>
        </is>
      </c>
      <c r="B535" t="inlineStr">
        <is>
          <t>vivareal.com.br</t>
        </is>
      </c>
      <c r="C535" t="inlineStr">
        <is>
          <t>VivaReal</t>
        </is>
      </c>
      <c r="E535" t="inlineStr">
        <is>
          <t>Apartamento</t>
        </is>
      </c>
      <c r="F535" t="inlineStr">
        <is>
          <t>Zona 08 · Rua Carlos Borrasca</t>
        </is>
      </c>
      <c r="G535" t="n">
        <v>61</v>
      </c>
      <c r="H535" t="n">
        <v>2</v>
      </c>
      <c r="K535" t="n">
        <v>2</v>
      </c>
      <c r="L535" t="n">
        <v>498000</v>
      </c>
      <c r="M535" t="inlineStr">
        <is>
          <t>VivaReal | id:2812713620</t>
        </is>
      </c>
      <c r="N535" t="inlineStr">
        <is>
          <t>Venda</t>
        </is>
      </c>
    </row>
    <row r="536">
      <c r="A536" t="inlineStr">
        <is>
          <t>2026-06-28</t>
        </is>
      </c>
      <c r="B536" t="inlineStr">
        <is>
          <t>vivareal.com.br</t>
        </is>
      </c>
      <c r="C536" t="inlineStr">
        <is>
          <t>VivaReal</t>
        </is>
      </c>
      <c r="E536" t="inlineStr">
        <is>
          <t>Apartamento</t>
        </is>
      </c>
      <c r="F536" t="inlineStr">
        <is>
          <t>Zona 01 · Rua Piratininga</t>
        </is>
      </c>
      <c r="G536" t="n">
        <v>45</v>
      </c>
      <c r="H536" t="n">
        <v>2</v>
      </c>
      <c r="K536" t="n">
        <v>1</v>
      </c>
      <c r="L536" t="n">
        <v>647000</v>
      </c>
      <c r="M536" t="inlineStr">
        <is>
          <t>VivaReal | id:2887666098</t>
        </is>
      </c>
      <c r="N536" t="inlineStr">
        <is>
          <t>Venda</t>
        </is>
      </c>
    </row>
    <row r="537">
      <c r="A537" t="inlineStr">
        <is>
          <t>2026-06-28</t>
        </is>
      </c>
      <c r="B537" t="inlineStr">
        <is>
          <t>vivareal.com.br</t>
        </is>
      </c>
      <c r="C537" t="inlineStr">
        <is>
          <t>VivaReal</t>
        </is>
      </c>
      <c r="E537" t="inlineStr">
        <is>
          <t>Terreno</t>
        </is>
      </c>
      <c r="F537" t="inlineStr">
        <is>
          <t>Jardim Everest · Rua Miguel Belai Filho</t>
        </is>
      </c>
      <c r="G537" t="n">
        <v>390</v>
      </c>
      <c r="L537" t="n">
        <v>250000</v>
      </c>
      <c r="M537" t="inlineStr">
        <is>
          <t>VivaReal | id:2885973175</t>
        </is>
      </c>
      <c r="N537" t="inlineStr">
        <is>
          <t>Venda</t>
        </is>
      </c>
    </row>
    <row r="538">
      <c r="A538" t="inlineStr">
        <is>
          <t>2026-06-28</t>
        </is>
      </c>
      <c r="B538" t="inlineStr">
        <is>
          <t>vivareal.com.br</t>
        </is>
      </c>
      <c r="C538" t="inlineStr">
        <is>
          <t>VivaReal</t>
        </is>
      </c>
      <c r="E538" t="inlineStr">
        <is>
          <t>Casa</t>
        </is>
      </c>
      <c r="F538" t="inlineStr">
        <is>
          <t>Residencial Ibirapuera · Rua Triunfo</t>
        </is>
      </c>
      <c r="G538" t="n">
        <v>119</v>
      </c>
      <c r="H538" t="n">
        <v>3</v>
      </c>
      <c r="K538" t="n">
        <v>3</v>
      </c>
      <c r="L538" t="n">
        <v>430000</v>
      </c>
      <c r="M538" t="inlineStr">
        <is>
          <t>VivaReal | id:2880866945</t>
        </is>
      </c>
      <c r="N538" t="inlineStr">
        <is>
          <t>Venda</t>
        </is>
      </c>
    </row>
    <row r="539">
      <c r="A539" t="inlineStr">
        <is>
          <t>2026-06-28</t>
        </is>
      </c>
      <c r="B539" t="inlineStr">
        <is>
          <t>vivareal.com.br</t>
        </is>
      </c>
      <c r="C539" t="inlineStr">
        <is>
          <t>VivaReal</t>
        </is>
      </c>
      <c r="E539" t="inlineStr">
        <is>
          <t>Terreno</t>
        </is>
      </c>
      <c r="F539" t="inlineStr">
        <is>
          <t>Conjunto Habitacional Requião · Rua Almerinda Silveira Coelho</t>
        </is>
      </c>
      <c r="G539" t="n">
        <v>325</v>
      </c>
      <c r="L539" t="n">
        <v>700000</v>
      </c>
      <c r="M539" t="inlineStr">
        <is>
          <t>VivaReal | id:2836971941</t>
        </is>
      </c>
      <c r="N539" t="inlineStr">
        <is>
          <t>Venda</t>
        </is>
      </c>
    </row>
    <row r="540">
      <c r="A540" t="inlineStr">
        <is>
          <t>2026-06-28</t>
        </is>
      </c>
      <c r="B540" t="inlineStr">
        <is>
          <t>vivareal.com.br</t>
        </is>
      </c>
      <c r="C540" t="inlineStr">
        <is>
          <t>VivaReal</t>
        </is>
      </c>
      <c r="E540" t="inlineStr">
        <is>
          <t>Terreno</t>
        </is>
      </c>
      <c r="F540" t="inlineStr">
        <is>
          <t>Conjunto Residencial Ney Braga · Avenida Pintassilgo</t>
        </is>
      </c>
      <c r="G540" t="n">
        <v>1688</v>
      </c>
      <c r="L540" t="n">
        <v>900000</v>
      </c>
      <c r="M540" t="inlineStr">
        <is>
          <t>VivaReal | id:2872060139</t>
        </is>
      </c>
      <c r="N540" t="inlineStr">
        <is>
          <t>Venda</t>
        </is>
      </c>
    </row>
    <row r="541">
      <c r="A541" t="inlineStr">
        <is>
          <t>2026-06-28</t>
        </is>
      </c>
      <c r="B541" t="inlineStr">
        <is>
          <t>vivareal.com.br</t>
        </is>
      </c>
      <c r="C541" t="inlineStr">
        <is>
          <t>VivaReal</t>
        </is>
      </c>
      <c r="E541" t="inlineStr">
        <is>
          <t>Terreno</t>
        </is>
      </c>
      <c r="F541" t="inlineStr">
        <is>
          <t>Jardim Botânico · Rua Pioneiro João Benedito da Silva</t>
        </is>
      </c>
      <c r="G541" t="n">
        <v>150</v>
      </c>
      <c r="L541" t="n">
        <v>230000</v>
      </c>
      <c r="M541" t="inlineStr">
        <is>
          <t>VivaReal | id:2800675227</t>
        </is>
      </c>
      <c r="N541" t="inlineStr">
        <is>
          <t>Venda</t>
        </is>
      </c>
    </row>
    <row r="542">
      <c r="A542" t="inlineStr">
        <is>
          <t>2026-06-28</t>
        </is>
      </c>
      <c r="B542" t="inlineStr">
        <is>
          <t>vivareal.com.br</t>
        </is>
      </c>
      <c r="C542" t="inlineStr">
        <is>
          <t>VivaReal</t>
        </is>
      </c>
      <c r="E542" t="inlineStr">
        <is>
          <t>Terreno</t>
        </is>
      </c>
      <c r="F542" t="inlineStr">
        <is>
          <t>Jardim Paulista III · Rua Constante Sala</t>
        </is>
      </c>
      <c r="G542" t="n">
        <v>434</v>
      </c>
      <c r="L542" t="n">
        <v>260000</v>
      </c>
      <c r="M542" t="inlineStr">
        <is>
          <t>VivaReal | id:2843136636</t>
        </is>
      </c>
      <c r="N542" t="inlineStr">
        <is>
          <t>Venda</t>
        </is>
      </c>
    </row>
    <row r="543">
      <c r="A543" t="inlineStr">
        <is>
          <t>2026-06-28</t>
        </is>
      </c>
      <c r="B543" t="inlineStr">
        <is>
          <t>vivareal.com.br</t>
        </is>
      </c>
      <c r="C543" t="inlineStr">
        <is>
          <t>VivaReal</t>
        </is>
      </c>
      <c r="E543" t="inlineStr">
        <is>
          <t>Apartamento</t>
        </is>
      </c>
      <c r="F543" t="inlineStr">
        <is>
          <t>Parque Industrial · Avenida Pioneiro Antonio Ruiz Saldanha</t>
        </is>
      </c>
      <c r="G543" t="n">
        <v>49</v>
      </c>
      <c r="H543" t="n">
        <v>2</v>
      </c>
      <c r="K543" t="n">
        <v>1</v>
      </c>
      <c r="L543" t="n">
        <v>280000</v>
      </c>
      <c r="M543" t="inlineStr">
        <is>
          <t>VivaReal | id:2893795300</t>
        </is>
      </c>
      <c r="N543" t="inlineStr">
        <is>
          <t>Venda</t>
        </is>
      </c>
    </row>
    <row r="544">
      <c r="A544" t="inlineStr">
        <is>
          <t>2026-06-28</t>
        </is>
      </c>
      <c r="B544" t="inlineStr">
        <is>
          <t>vivareal.com.br</t>
        </is>
      </c>
      <c r="C544" t="inlineStr">
        <is>
          <t>VivaReal</t>
        </is>
      </c>
      <c r="E544" t="inlineStr">
        <is>
          <t>Apartamento</t>
        </is>
      </c>
      <c r="F544" t="inlineStr">
        <is>
          <t>Parque Industrial · Avenida Pioneiro Antonio Ruiz Saldanha</t>
        </is>
      </c>
      <c r="G544" t="n">
        <v>48</v>
      </c>
      <c r="H544" t="n">
        <v>2</v>
      </c>
      <c r="K544" t="n">
        <v>1</v>
      </c>
      <c r="L544" t="n">
        <v>230000</v>
      </c>
      <c r="M544" t="inlineStr">
        <is>
          <t>VivaReal | id:2843133284</t>
        </is>
      </c>
      <c r="N544" t="inlineStr">
        <is>
          <t>Venda</t>
        </is>
      </c>
    </row>
    <row r="545">
      <c r="A545" t="inlineStr">
        <is>
          <t>2026-06-28</t>
        </is>
      </c>
      <c r="B545" t="inlineStr">
        <is>
          <t>vivareal.com.br</t>
        </is>
      </c>
      <c r="C545" t="inlineStr">
        <is>
          <t>VivaReal</t>
        </is>
      </c>
      <c r="E545" t="inlineStr">
        <is>
          <t>Terreno</t>
        </is>
      </c>
      <c r="F545" t="inlineStr">
        <is>
          <t>Jardim Campo Belo · Rua Katsutoshi Nonaka</t>
        </is>
      </c>
      <c r="G545" t="n">
        <v>375</v>
      </c>
      <c r="L545" t="n">
        <v>260000</v>
      </c>
      <c r="M545" t="inlineStr">
        <is>
          <t>VivaReal | id:2832061362</t>
        </is>
      </c>
      <c r="N545" t="inlineStr">
        <is>
          <t>Venda</t>
        </is>
      </c>
    </row>
    <row r="546">
      <c r="A546" t="inlineStr">
        <is>
          <t>2026-06-28</t>
        </is>
      </c>
      <c r="B546" t="inlineStr">
        <is>
          <t>vivareal.com.br</t>
        </is>
      </c>
      <c r="C546" t="inlineStr">
        <is>
          <t>VivaReal</t>
        </is>
      </c>
      <c r="E546" t="inlineStr">
        <is>
          <t>Casa</t>
        </is>
      </c>
      <c r="F546" t="inlineStr">
        <is>
          <t>Jardim Tóquio · Rua Fernando César Menezes Nagib Neme</t>
        </is>
      </c>
      <c r="G546" t="n">
        <v>105</v>
      </c>
      <c r="H546" t="n">
        <v>3</v>
      </c>
      <c r="K546" t="n">
        <v>1</v>
      </c>
      <c r="L546" t="n">
        <v>580000</v>
      </c>
      <c r="M546" t="inlineStr">
        <is>
          <t>VivaReal | id:2843136650</t>
        </is>
      </c>
      <c r="N546" t="inlineStr">
        <is>
          <t>Venda</t>
        </is>
      </c>
    </row>
    <row r="547">
      <c r="A547" t="inlineStr">
        <is>
          <t>2026-06-28</t>
        </is>
      </c>
      <c r="B547" t="inlineStr">
        <is>
          <t>vivareal.com.br</t>
        </is>
      </c>
      <c r="C547" t="inlineStr">
        <is>
          <t>VivaReal</t>
        </is>
      </c>
      <c r="E547" t="inlineStr">
        <is>
          <t>Terreno</t>
        </is>
      </c>
      <c r="F547" t="inlineStr">
        <is>
          <t>Jardim São Basílio · Rua Tranquilo Morgon</t>
        </is>
      </c>
      <c r="G547" t="n">
        <v>320</v>
      </c>
      <c r="L547" t="n">
        <v>200000</v>
      </c>
      <c r="M547" t="inlineStr">
        <is>
          <t>VivaReal | id:2866525665</t>
        </is>
      </c>
      <c r="N547" t="inlineStr">
        <is>
          <t>Venda</t>
        </is>
      </c>
    </row>
    <row r="548">
      <c r="A548" t="inlineStr">
        <is>
          <t>2026-06-28</t>
        </is>
      </c>
      <c r="B548" t="inlineStr">
        <is>
          <t>vivareal.com.br</t>
        </is>
      </c>
      <c r="C548" t="inlineStr">
        <is>
          <t>VivaReal</t>
        </is>
      </c>
      <c r="E548" t="inlineStr">
        <is>
          <t>Casa</t>
        </is>
      </c>
      <c r="F548" t="inlineStr">
        <is>
          <t>Jardim Três Lagoas · Rua Henri Jean Viana Júnior</t>
        </is>
      </c>
      <c r="G548" t="n">
        <v>84</v>
      </c>
      <c r="H548" t="n">
        <v>3</v>
      </c>
      <c r="K548" t="n">
        <v>2</v>
      </c>
      <c r="L548" t="n">
        <v>480000</v>
      </c>
      <c r="M548" t="inlineStr">
        <is>
          <t>VivaReal | id:2886953888</t>
        </is>
      </c>
      <c r="N548" t="inlineStr">
        <is>
          <t>Venda</t>
        </is>
      </c>
    </row>
    <row r="549">
      <c r="A549" t="inlineStr">
        <is>
          <t>2026-06-28</t>
        </is>
      </c>
      <c r="B549" t="inlineStr">
        <is>
          <t>vivareal.com.br</t>
        </is>
      </c>
      <c r="C549" t="inlineStr">
        <is>
          <t>VivaReal</t>
        </is>
      </c>
      <c r="E549" t="inlineStr">
        <is>
          <t>Casa</t>
        </is>
      </c>
      <c r="F549" t="inlineStr">
        <is>
          <t>Jardim Guairacá · Rua Manoel da Silveira</t>
        </is>
      </c>
      <c r="G549" t="n">
        <v>110</v>
      </c>
      <c r="H549" t="n">
        <v>3</v>
      </c>
      <c r="K549" t="n">
        <v>2</v>
      </c>
      <c r="L549" t="n">
        <v>480000</v>
      </c>
      <c r="M549" t="inlineStr">
        <is>
          <t>VivaReal | id:2843135335</t>
        </is>
      </c>
      <c r="N549" t="inlineStr">
        <is>
          <t>Venda</t>
        </is>
      </c>
    </row>
    <row r="550">
      <c r="A550" t="inlineStr">
        <is>
          <t>2026-06-28</t>
        </is>
      </c>
      <c r="B550" t="inlineStr">
        <is>
          <t>vivareal.com.br</t>
        </is>
      </c>
      <c r="C550" t="inlineStr">
        <is>
          <t>VivaReal</t>
        </is>
      </c>
      <c r="E550" t="inlineStr">
        <is>
          <t>Apartamento</t>
        </is>
      </c>
      <c r="F550" t="inlineStr">
        <is>
          <t>Jardim Tropical · Rua Pequi</t>
        </is>
      </c>
      <c r="G550" t="n">
        <v>45</v>
      </c>
      <c r="H550" t="n">
        <v>2</v>
      </c>
      <c r="K550" t="n">
        <v>1</v>
      </c>
      <c r="L550" t="n">
        <v>285000</v>
      </c>
      <c r="M550" t="inlineStr">
        <is>
          <t>VivaReal | id:2883549624</t>
        </is>
      </c>
      <c r="N550" t="inlineStr">
        <is>
          <t>Venda</t>
        </is>
      </c>
    </row>
    <row r="551">
      <c r="A551" t="inlineStr">
        <is>
          <t>2026-06-28</t>
        </is>
      </c>
      <c r="B551" t="inlineStr">
        <is>
          <t>vivareal.com.br</t>
        </is>
      </c>
      <c r="C551" t="inlineStr">
        <is>
          <t>VivaReal</t>
        </is>
      </c>
      <c r="E551" t="inlineStr">
        <is>
          <t>Casa</t>
        </is>
      </c>
      <c r="F551" t="inlineStr">
        <is>
          <t>Jardim Três Lagoas · Rua Octávio Moura</t>
        </is>
      </c>
      <c r="G551" t="n">
        <v>105</v>
      </c>
      <c r="H551" t="n">
        <v>3</v>
      </c>
      <c r="K551" t="n">
        <v>4</v>
      </c>
      <c r="L551" t="n">
        <v>550000</v>
      </c>
      <c r="M551" t="inlineStr">
        <is>
          <t>VivaReal | id:2843133672</t>
        </is>
      </c>
      <c r="N551" t="inlineStr">
        <is>
          <t>Venda</t>
        </is>
      </c>
    </row>
    <row r="552">
      <c r="A552" t="inlineStr">
        <is>
          <t>2026-06-28</t>
        </is>
      </c>
      <c r="B552" t="inlineStr">
        <is>
          <t>vivareal.com.br</t>
        </is>
      </c>
      <c r="C552" t="inlineStr">
        <is>
          <t>VivaReal</t>
        </is>
      </c>
      <c r="E552" t="inlineStr">
        <is>
          <t>Terreno</t>
        </is>
      </c>
      <c r="F552" t="inlineStr">
        <is>
          <t>Jardim Guairacá · Rua Manoel da Silveira</t>
        </is>
      </c>
      <c r="G552" t="n">
        <v>340</v>
      </c>
      <c r="L552" t="n">
        <v>240000</v>
      </c>
      <c r="M552" t="inlineStr">
        <is>
          <t>VivaReal | id:2843135371</t>
        </is>
      </c>
      <c r="N552" t="inlineStr">
        <is>
          <t>Venda</t>
        </is>
      </c>
    </row>
    <row r="553">
      <c r="A553" t="inlineStr">
        <is>
          <t>2026-06-28</t>
        </is>
      </c>
      <c r="B553" t="inlineStr">
        <is>
          <t>vivareal.com.br</t>
        </is>
      </c>
      <c r="C553" t="inlineStr">
        <is>
          <t>VivaReal</t>
        </is>
      </c>
      <c r="E553" t="inlineStr">
        <is>
          <t>Terreno</t>
        </is>
      </c>
      <c r="F553" t="inlineStr">
        <is>
          <t>Parque das Laranjeiras · Rua Tupanssi</t>
        </is>
      </c>
      <c r="G553" t="n">
        <v>150</v>
      </c>
      <c r="L553" t="n">
        <v>185000</v>
      </c>
      <c r="M553" t="inlineStr">
        <is>
          <t>VivaReal | id:2840167821</t>
        </is>
      </c>
      <c r="N553" t="inlineStr">
        <is>
          <t>Venda</t>
        </is>
      </c>
    </row>
    <row r="554">
      <c r="A554" t="inlineStr">
        <is>
          <t>2026-06-28</t>
        </is>
      </c>
      <c r="B554" t="inlineStr">
        <is>
          <t>vivareal.com.br</t>
        </is>
      </c>
      <c r="C554" t="inlineStr">
        <is>
          <t>VivaReal</t>
        </is>
      </c>
      <c r="E554" t="inlineStr">
        <is>
          <t>Terreno</t>
        </is>
      </c>
      <c r="F554" t="inlineStr">
        <is>
          <t>Bom Jardim · Rua Miyo Tamura</t>
        </is>
      </c>
      <c r="G554" t="n">
        <v>384</v>
      </c>
      <c r="K554" t="n">
        <v>4</v>
      </c>
      <c r="L554" t="n">
        <v>285000</v>
      </c>
      <c r="M554" t="inlineStr">
        <is>
          <t>VivaReal | id:2835275257</t>
        </is>
      </c>
      <c r="N554" t="inlineStr">
        <is>
          <t>Venda</t>
        </is>
      </c>
    </row>
    <row r="555">
      <c r="A555" t="inlineStr">
        <is>
          <t>2026-06-28</t>
        </is>
      </c>
      <c r="B555" t="inlineStr">
        <is>
          <t>vivareal.com.br</t>
        </is>
      </c>
      <c r="C555" t="inlineStr">
        <is>
          <t>VivaReal</t>
        </is>
      </c>
      <c r="E555" t="inlineStr">
        <is>
          <t>Apartamento</t>
        </is>
      </c>
      <c r="F555" t="inlineStr">
        <is>
          <t>Jardim Aclimação · Rua José de Oliveira</t>
        </is>
      </c>
      <c r="G555" t="n">
        <v>52</v>
      </c>
      <c r="H555" t="n">
        <v>2</v>
      </c>
      <c r="K555" t="n">
        <v>1</v>
      </c>
      <c r="L555" t="n">
        <v>490000</v>
      </c>
      <c r="M555" t="inlineStr">
        <is>
          <t>VivaReal | id:2867263956</t>
        </is>
      </c>
      <c r="N555" t="inlineStr">
        <is>
          <t>Venda</t>
        </is>
      </c>
    </row>
    <row r="556">
      <c r="A556" t="inlineStr">
        <is>
          <t>2026-06-28</t>
        </is>
      </c>
      <c r="B556" t="inlineStr">
        <is>
          <t>vivareal.com.br</t>
        </is>
      </c>
      <c r="C556" t="inlineStr">
        <is>
          <t>VivaReal</t>
        </is>
      </c>
      <c r="E556" t="inlineStr">
        <is>
          <t>Casa</t>
        </is>
      </c>
      <c r="F556" t="inlineStr">
        <is>
          <t>Jardim Diamante · Rua Pioneiro João Vaz de Queiroz Filho</t>
        </is>
      </c>
      <c r="G556" t="n">
        <v>105</v>
      </c>
      <c r="H556" t="n">
        <v>3</v>
      </c>
      <c r="K556" t="n">
        <v>2</v>
      </c>
      <c r="L556" t="n">
        <v>430000</v>
      </c>
      <c r="M556" t="inlineStr">
        <is>
          <t>VivaReal | id:2722448386</t>
        </is>
      </c>
      <c r="N556" t="inlineStr">
        <is>
          <t>Venda</t>
        </is>
      </c>
    </row>
    <row r="557">
      <c r="A557" t="inlineStr">
        <is>
          <t>2026-06-28</t>
        </is>
      </c>
      <c r="B557" t="inlineStr">
        <is>
          <t>vivareal.com.br</t>
        </is>
      </c>
      <c r="C557" t="inlineStr">
        <is>
          <t>VivaReal</t>
        </is>
      </c>
      <c r="E557" t="inlineStr">
        <is>
          <t>Casa</t>
        </is>
      </c>
      <c r="F557" t="inlineStr">
        <is>
          <t>Jardim Três Lagoas · Rua Miguel Romeiro</t>
        </is>
      </c>
      <c r="G557" t="n">
        <v>130</v>
      </c>
      <c r="H557" t="n">
        <v>3</v>
      </c>
      <c r="K557" t="n">
        <v>2</v>
      </c>
      <c r="L557" t="n">
        <v>430000</v>
      </c>
      <c r="M557" t="inlineStr">
        <is>
          <t>VivaReal | id:2812682717</t>
        </is>
      </c>
      <c r="N557" t="inlineStr">
        <is>
          <t>Venda</t>
        </is>
      </c>
    </row>
    <row r="558">
      <c r="A558" t="inlineStr">
        <is>
          <t>2026-06-28</t>
        </is>
      </c>
      <c r="B558" t="inlineStr">
        <is>
          <t>vivareal.com.br</t>
        </is>
      </c>
      <c r="C558" t="inlineStr">
        <is>
          <t>VivaReal</t>
        </is>
      </c>
      <c r="E558" t="inlineStr">
        <is>
          <t>Casa</t>
        </is>
      </c>
      <c r="F558" t="inlineStr">
        <is>
          <t>Jardim Imperio Do Sol</t>
        </is>
      </c>
      <c r="G558" t="n">
        <v>105</v>
      </c>
      <c r="H558" t="n">
        <v>3</v>
      </c>
      <c r="K558" t="n">
        <v>2</v>
      </c>
      <c r="L558" t="n">
        <v>680000</v>
      </c>
      <c r="M558" t="inlineStr">
        <is>
          <t>VivaReal | id:2782119445</t>
        </is>
      </c>
      <c r="N558" t="inlineStr">
        <is>
          <t>Venda</t>
        </is>
      </c>
    </row>
    <row r="559">
      <c r="A559" t="inlineStr">
        <is>
          <t>2026-06-28</t>
        </is>
      </c>
      <c r="B559" t="inlineStr">
        <is>
          <t>vivareal.com.br</t>
        </is>
      </c>
      <c r="C559" t="inlineStr">
        <is>
          <t>VivaReal</t>
        </is>
      </c>
      <c r="E559" t="inlineStr">
        <is>
          <t>Terreno</t>
        </is>
      </c>
      <c r="F559" t="inlineStr">
        <is>
          <t>Ebenezer · Rua Argentina</t>
        </is>
      </c>
      <c r="G559" t="n">
        <v>1000</v>
      </c>
      <c r="L559" t="n">
        <v>370000</v>
      </c>
      <c r="M559" t="inlineStr">
        <is>
          <t>VivaReal | id:2812710868</t>
        </is>
      </c>
      <c r="N559" t="inlineStr">
        <is>
          <t>Venda</t>
        </is>
      </c>
    </row>
    <row r="560">
      <c r="A560" t="inlineStr">
        <is>
          <t>2026-06-28</t>
        </is>
      </c>
      <c r="B560" t="inlineStr">
        <is>
          <t>vivareal.com.br</t>
        </is>
      </c>
      <c r="C560" t="inlineStr">
        <is>
          <t>VivaReal</t>
        </is>
      </c>
      <c r="E560" t="inlineStr">
        <is>
          <t>Casa</t>
        </is>
      </c>
      <c r="F560" t="inlineStr">
        <is>
          <t>Jardim Dias I · Rua Arthur Fregadolli</t>
        </is>
      </c>
      <c r="G560" t="n">
        <v>127</v>
      </c>
      <c r="H560" t="n">
        <v>3</v>
      </c>
      <c r="K560" t="n">
        <v>6</v>
      </c>
      <c r="L560" t="n">
        <v>580000</v>
      </c>
      <c r="M560" t="inlineStr">
        <is>
          <t>VivaReal | id:2846825754</t>
        </is>
      </c>
      <c r="N560" t="inlineStr">
        <is>
          <t>Venda</t>
        </is>
      </c>
    </row>
    <row r="561">
      <c r="A561" t="inlineStr">
        <is>
          <t>2026-06-28</t>
        </is>
      </c>
      <c r="B561" t="inlineStr">
        <is>
          <t>vivareal.com.br</t>
        </is>
      </c>
      <c r="C561" t="inlineStr">
        <is>
          <t>VivaReal</t>
        </is>
      </c>
      <c r="E561" t="inlineStr">
        <is>
          <t>Terreno</t>
        </is>
      </c>
      <c r="F561" t="inlineStr">
        <is>
          <t>Jardim Alvorada · Rua Equador</t>
        </is>
      </c>
      <c r="G561" t="n">
        <v>450</v>
      </c>
      <c r="L561" t="n">
        <v>290000</v>
      </c>
      <c r="M561" t="inlineStr">
        <is>
          <t>VivaReal | id:2875809279</t>
        </is>
      </c>
      <c r="N561" t="inlineStr">
        <is>
          <t>Venda</t>
        </is>
      </c>
    </row>
    <row r="562">
      <c r="A562" t="inlineStr">
        <is>
          <t>2026-06-28</t>
        </is>
      </c>
      <c r="B562" t="inlineStr">
        <is>
          <t>vivareal.com.br</t>
        </is>
      </c>
      <c r="C562" t="inlineStr">
        <is>
          <t>VivaReal</t>
        </is>
      </c>
      <c r="E562" t="inlineStr">
        <is>
          <t>Terreno</t>
        </is>
      </c>
      <c r="F562" t="inlineStr">
        <is>
          <t>Portal das Torres · Rua Mitugu Miyabayashi</t>
        </is>
      </c>
      <c r="G562" t="n">
        <v>1000</v>
      </c>
      <c r="L562" t="n">
        <v>490000</v>
      </c>
      <c r="M562" t="inlineStr">
        <is>
          <t>VivaReal | id:2817400419</t>
        </is>
      </c>
      <c r="N562" t="inlineStr">
        <is>
          <t>Venda</t>
        </is>
      </c>
    </row>
    <row r="563">
      <c r="A563" t="inlineStr">
        <is>
          <t>2026-06-28</t>
        </is>
      </c>
      <c r="B563" t="inlineStr">
        <is>
          <t>vivareal.com.br</t>
        </is>
      </c>
      <c r="C563" t="inlineStr">
        <is>
          <t>VivaReal</t>
        </is>
      </c>
      <c r="E563" t="inlineStr">
        <is>
          <t>Apartamento</t>
        </is>
      </c>
      <c r="F563" t="inlineStr">
        <is>
          <t>Jardim das Estações · Avenida Pioneiro Antonio Ruiz Saldanha</t>
        </is>
      </c>
      <c r="G563" t="n">
        <v>53</v>
      </c>
      <c r="H563" t="n">
        <v>2</v>
      </c>
      <c r="K563" t="n">
        <v>1</v>
      </c>
      <c r="L563" t="n">
        <v>350000</v>
      </c>
      <c r="M563" t="inlineStr">
        <is>
          <t>VivaReal | id:2853391581</t>
        </is>
      </c>
      <c r="N563" t="inlineStr">
        <is>
          <t>Venda</t>
        </is>
      </c>
    </row>
    <row r="564">
      <c r="A564" t="inlineStr">
        <is>
          <t>2026-06-28</t>
        </is>
      </c>
      <c r="B564" t="inlineStr">
        <is>
          <t>vivareal.com.br</t>
        </is>
      </c>
      <c r="C564" t="inlineStr">
        <is>
          <t>VivaReal</t>
        </is>
      </c>
      <c r="E564" t="inlineStr">
        <is>
          <t>Terreno</t>
        </is>
      </c>
      <c r="F564" t="inlineStr">
        <is>
          <t>Residencial Arezzo · Avenida Juvêncio Barbosa Silveira</t>
        </is>
      </c>
      <c r="G564" t="n">
        <v>247</v>
      </c>
      <c r="L564" t="n">
        <v>200000</v>
      </c>
      <c r="M564" t="inlineStr">
        <is>
          <t>VivaReal | id:2843134358</t>
        </is>
      </c>
      <c r="N564" t="inlineStr">
        <is>
          <t>Venda</t>
        </is>
      </c>
    </row>
    <row r="565">
      <c r="A565" t="inlineStr">
        <is>
          <t>2026-06-28</t>
        </is>
      </c>
      <c r="B565" t="inlineStr">
        <is>
          <t>vivareal.com.br</t>
        </is>
      </c>
      <c r="C565" t="inlineStr">
        <is>
          <t>VivaReal</t>
        </is>
      </c>
      <c r="E565" t="inlineStr">
        <is>
          <t>Casa</t>
        </is>
      </c>
      <c r="F565" t="inlineStr">
        <is>
          <t>Jardim Botânico · Rua Pioneiro Geraldo Pinheiro da Fonseca</t>
        </is>
      </c>
      <c r="G565" t="n">
        <v>100</v>
      </c>
      <c r="H565" t="n">
        <v>3</v>
      </c>
      <c r="K565" t="n">
        <v>2</v>
      </c>
      <c r="L565" t="n">
        <v>610000</v>
      </c>
      <c r="M565" t="inlineStr">
        <is>
          <t>VivaReal | id:2872779918</t>
        </is>
      </c>
      <c r="N565" t="inlineStr">
        <is>
          <t>Venda</t>
        </is>
      </c>
    </row>
    <row r="566">
      <c r="A566" t="inlineStr">
        <is>
          <t>2026-06-28</t>
        </is>
      </c>
      <c r="B566" t="inlineStr">
        <is>
          <t>vivareal.com.br</t>
        </is>
      </c>
      <c r="C566" t="inlineStr">
        <is>
          <t>VivaReal</t>
        </is>
      </c>
      <c r="E566" t="inlineStr">
        <is>
          <t>Terreno</t>
        </is>
      </c>
      <c r="F566" t="inlineStr">
        <is>
          <t>Jardins de Monet Residence · Rua X</t>
        </is>
      </c>
      <c r="G566" t="n">
        <v>518</v>
      </c>
      <c r="L566" t="n">
        <v>550000</v>
      </c>
      <c r="M566" t="inlineStr">
        <is>
          <t>VivaReal | id:2888990077</t>
        </is>
      </c>
      <c r="N566" t="inlineStr">
        <is>
          <t>Venda</t>
        </is>
      </c>
    </row>
    <row r="567">
      <c r="A567" t="inlineStr">
        <is>
          <t>2026-06-28</t>
        </is>
      </c>
      <c r="B567" t="inlineStr">
        <is>
          <t>vivareal.com.br</t>
        </is>
      </c>
      <c r="C567" t="inlineStr">
        <is>
          <t>VivaReal</t>
        </is>
      </c>
      <c r="E567" t="inlineStr">
        <is>
          <t>Apartamento</t>
        </is>
      </c>
      <c r="F567" t="inlineStr">
        <is>
          <t>Parque Industrial · Rua Rubens Sebastião Marin</t>
        </is>
      </c>
      <c r="G567" t="n">
        <v>79</v>
      </c>
      <c r="H567" t="n">
        <v>1</v>
      </c>
      <c r="K567" t="n">
        <v>2</v>
      </c>
      <c r="L567" t="n">
        <v>366456</v>
      </c>
      <c r="M567" t="inlineStr">
        <is>
          <t>VivaReal | id:2895219679</t>
        </is>
      </c>
      <c r="N567" t="inlineStr">
        <is>
          <t>Venda</t>
        </is>
      </c>
    </row>
    <row r="568">
      <c r="A568" s="13" t="inlineStr">
        <is>
          <t>2026-06-28</t>
        </is>
      </c>
      <c r="B568" s="13" t="inlineStr">
        <is>
          <t>silvioiwata.com.br</t>
        </is>
      </c>
      <c r="C568" s="13" t="inlineStr">
        <is>
          <t>Silvio Iwata Imóveis</t>
        </is>
      </c>
      <c r="D568" s="13" t="inlineStr"/>
      <c r="E568" s="13" t="inlineStr">
        <is>
          <t>Apartamento</t>
        </is>
      </c>
      <c r="F568" s="13" t="inlineStr">
        <is>
          <t>Jd Cidade Moncoes</t>
        </is>
      </c>
      <c r="G568" s="13" t="n">
        <v>180</v>
      </c>
      <c r="H568" s="13" t="inlineStr"/>
      <c r="I568" s="13" t="n">
        <v>3</v>
      </c>
      <c r="K568" s="13" t="n">
        <v>3</v>
      </c>
      <c r="L568" s="13" t="inlineStr"/>
      <c r="M568" s="13" t="inlineStr">
        <is>
          <t>Ref: 3620004331 | https://silvioiwata.com.br/imovel/3620004331/apartamento-a-venda/maringa-pr-jd-cidade-moncoes</t>
        </is>
      </c>
      <c r="N568" s="13" t="inlineStr">
        <is>
          <t>Novo</t>
        </is>
      </c>
      <c r="O568" s="13" t="inlineStr"/>
    </row>
    <row r="569">
      <c r="A569" s="13" t="inlineStr">
        <is>
          <t>2026-06-28</t>
        </is>
      </c>
      <c r="B569" s="13" t="inlineStr">
        <is>
          <t>silvioiwata.com.br</t>
        </is>
      </c>
      <c r="C569" s="13" t="inlineStr">
        <is>
          <t>Silvio Iwata Imóveis</t>
        </is>
      </c>
      <c r="D569" s="13" t="inlineStr"/>
      <c r="E569" s="13" t="inlineStr">
        <is>
          <t>Apartamento</t>
        </is>
      </c>
      <c r="F569" s="13" t="inlineStr">
        <is>
          <t>Jd Aclimacao</t>
        </is>
      </c>
      <c r="G569" s="13" t="n">
        <v>105</v>
      </c>
      <c r="H569" s="13" t="n">
        <v>2</v>
      </c>
      <c r="I569" s="13" t="n">
        <v>1</v>
      </c>
      <c r="K569" s="13" t="n">
        <v>2</v>
      </c>
      <c r="L569" s="13" t="inlineStr"/>
      <c r="M569" s="13" t="inlineStr">
        <is>
          <t>Ref: 3620004358 | https://silvioiwata.com.br/imovel/3620004358/apartamento-a-venda/maringa-pr-jd-aclimacao</t>
        </is>
      </c>
      <c r="N569" s="13" t="inlineStr">
        <is>
          <t>Novo</t>
        </is>
      </c>
      <c r="O569" s="13" t="inlineStr"/>
    </row>
    <row r="570">
      <c r="A570" s="13" t="inlineStr">
        <is>
          <t>2026-06-28</t>
        </is>
      </c>
      <c r="B570" s="13" t="inlineStr">
        <is>
          <t>silvioiwata.com.br</t>
        </is>
      </c>
      <c r="C570" s="13" t="inlineStr">
        <is>
          <t>Silvio Iwata Imóveis</t>
        </is>
      </c>
      <c r="D570" s="13" t="inlineStr"/>
      <c r="E570" s="13" t="inlineStr">
        <is>
          <t>Apartamento</t>
        </is>
      </c>
      <c r="F570" s="13" t="inlineStr">
        <is>
          <t>Zona 07</t>
        </is>
      </c>
      <c r="G570" s="13" t="n">
        <v>53.1</v>
      </c>
      <c r="H570" s="13" t="n">
        <v>1</v>
      </c>
      <c r="I570" s="13" t="n">
        <v>1</v>
      </c>
      <c r="K570" s="13" t="n">
        <v>1</v>
      </c>
      <c r="L570" s="13" t="n">
        <v>80000</v>
      </c>
      <c r="M570" s="13" t="inlineStr">
        <is>
          <t>Ref: 3620007588 | https://silvioiwata.com.br/imovel/3620007588/apartamento-a-venda/maringa-pr-zona-07</t>
        </is>
      </c>
      <c r="N570" s="13" t="inlineStr">
        <is>
          <t>Novo</t>
        </is>
      </c>
      <c r="O570" s="13" t="inlineStr"/>
    </row>
    <row r="571">
      <c r="A571" s="13" t="inlineStr">
        <is>
          <t>2026-06-28</t>
        </is>
      </c>
      <c r="B571" s="13" t="inlineStr">
        <is>
          <t>silvioiwata.com.br</t>
        </is>
      </c>
      <c r="C571" s="13" t="inlineStr">
        <is>
          <t>Silvio Iwata Imóveis</t>
        </is>
      </c>
      <c r="D571" s="13" t="inlineStr"/>
      <c r="E571" s="13" t="inlineStr">
        <is>
          <t>Sala Comercial</t>
        </is>
      </c>
      <c r="F571" s="13" t="inlineStr">
        <is>
          <t>Zona 01 Centro</t>
        </is>
      </c>
      <c r="G571" s="13" t="n">
        <v>38.5</v>
      </c>
      <c r="H571" s="13" t="n">
        <v>2</v>
      </c>
      <c r="I571" s="13" t="inlineStr"/>
      <c r="K571" s="13" t="inlineStr"/>
      <c r="L571" s="13" t="n">
        <v>110000</v>
      </c>
      <c r="M571" s="13" t="inlineStr">
        <is>
          <t>Ref: 3620006736 | https://silvioiwata.com.br/imovel/3620006736/sala-comercial-a-venda/maringa-pr-zona-01-centro</t>
        </is>
      </c>
      <c r="N571" s="13" t="inlineStr">
        <is>
          <t>Novo</t>
        </is>
      </c>
      <c r="O571" s="13" t="inlineStr"/>
    </row>
    <row r="572">
      <c r="A572" s="13" t="inlineStr">
        <is>
          <t>2026-06-28</t>
        </is>
      </c>
      <c r="B572" s="13" t="inlineStr">
        <is>
          <t>silvioiwata.com.br</t>
        </is>
      </c>
      <c r="C572" s="13" t="inlineStr">
        <is>
          <t>Silvio Iwata Imóveis</t>
        </is>
      </c>
      <c r="D572" s="13" t="inlineStr"/>
      <c r="E572" s="13" t="inlineStr">
        <is>
          <t>Terreno</t>
        </is>
      </c>
      <c r="F572" s="13" t="inlineStr">
        <is>
          <t>Jd Kakogawa</t>
        </is>
      </c>
      <c r="G572" s="13" t="n">
        <v>150</v>
      </c>
      <c r="H572" s="13" t="inlineStr"/>
      <c r="I572" s="13" t="inlineStr"/>
      <c r="K572" s="13" t="inlineStr"/>
      <c r="L572" s="13" t="n">
        <v>125000</v>
      </c>
      <c r="M572" s="13" t="inlineStr">
        <is>
          <t>Ref: 3620007436 | https://silvioiwata.com.br/imovel/3620007436/terreno-a-venda/maringa-pr-jd-kakogawa</t>
        </is>
      </c>
      <c r="N572" s="13" t="inlineStr">
        <is>
          <t>Novo</t>
        </is>
      </c>
      <c r="O572" s="13" t="inlineStr"/>
    </row>
    <row r="573">
      <c r="A573" s="13" t="inlineStr">
        <is>
          <t>2026-06-28</t>
        </is>
      </c>
      <c r="B573" s="13" t="inlineStr">
        <is>
          <t>silvioiwata.com.br</t>
        </is>
      </c>
      <c r="C573" s="13" t="inlineStr">
        <is>
          <t>Silvio Iwata Imóveis</t>
        </is>
      </c>
      <c r="D573" s="13" t="inlineStr"/>
      <c r="E573" s="13" t="inlineStr">
        <is>
          <t>Terreno</t>
        </is>
      </c>
      <c r="F573" s="13" t="inlineStr">
        <is>
          <t>Jd Munique</t>
        </is>
      </c>
      <c r="G573" s="13" t="n">
        <v>200</v>
      </c>
      <c r="H573" s="13" t="inlineStr"/>
      <c r="I573" s="13" t="inlineStr"/>
      <c r="K573" s="13" t="inlineStr"/>
      <c r="L573" s="13" t="n">
        <v>150000</v>
      </c>
      <c r="M573" s="13" t="inlineStr">
        <is>
          <t>Ref: 3620004371 | https://silvioiwata.com.br/imovel/3620004371/terreno-a-venda/maringa-pr-jd-munique</t>
        </is>
      </c>
      <c r="N573" s="13" t="inlineStr">
        <is>
          <t>Novo</t>
        </is>
      </c>
      <c r="O573" s="13" t="inlineStr"/>
    </row>
    <row r="574">
      <c r="A574" s="13" t="inlineStr">
        <is>
          <t>2026-06-28</t>
        </is>
      </c>
      <c r="B574" s="13" t="inlineStr">
        <is>
          <t>silvioiwata.com.br</t>
        </is>
      </c>
      <c r="C574" s="13" t="inlineStr">
        <is>
          <t>Silvio Iwata Imóveis</t>
        </is>
      </c>
      <c r="D574" s="13" t="inlineStr"/>
      <c r="E574" s="13" t="inlineStr">
        <is>
          <t>Apartamento</t>
        </is>
      </c>
      <c r="F574" s="13" t="inlineStr">
        <is>
          <t>Pq Industrial Mario Bulhoes</t>
        </is>
      </c>
      <c r="G574" s="13" t="n">
        <v>18.85</v>
      </c>
      <c r="H574" s="13" t="n">
        <v>1</v>
      </c>
      <c r="I574" s="13" t="inlineStr"/>
      <c r="K574" s="13" t="inlineStr"/>
      <c r="L574" s="13" t="n">
        <v>150000</v>
      </c>
      <c r="M574" s="13" t="inlineStr">
        <is>
          <t>Ref: 3620007178 | https://silvioiwata.com.br/imovel/3620007178/apartamento-a-venda/maringa-pr-pq-industrial-mario-bulhoes</t>
        </is>
      </c>
      <c r="N574" s="13" t="inlineStr">
        <is>
          <t>Novo</t>
        </is>
      </c>
      <c r="O574" s="13" t="inlineStr"/>
    </row>
    <row r="575">
      <c r="A575" s="13" t="inlineStr">
        <is>
          <t>2026-06-28</t>
        </is>
      </c>
      <c r="B575" s="13" t="inlineStr">
        <is>
          <t>silvioiwata.com.br</t>
        </is>
      </c>
      <c r="C575" s="13" t="inlineStr">
        <is>
          <t>Silvio Iwata Imóveis</t>
        </is>
      </c>
      <c r="D575" s="13" t="inlineStr"/>
      <c r="E575" s="13" t="inlineStr">
        <is>
          <t>Terreno</t>
        </is>
      </c>
      <c r="F575" s="13" t="inlineStr">
        <is>
          <t>Jd Oasis</t>
        </is>
      </c>
      <c r="G575" s="13" t="n">
        <v>180</v>
      </c>
      <c r="H575" s="13" t="inlineStr"/>
      <c r="I575" s="13" t="inlineStr"/>
      <c r="K575" s="13" t="inlineStr"/>
      <c r="L575" s="13" t="n">
        <v>180000</v>
      </c>
      <c r="M575" s="13" t="inlineStr">
        <is>
          <t>Ref: 3620007555 | https://silvioiwata.com.br/imovel/3620007555/terreno-a-venda/maringa-pr-jd-oasis</t>
        </is>
      </c>
      <c r="N575" s="13" t="inlineStr">
        <is>
          <t>Novo</t>
        </is>
      </c>
      <c r="O575" s="13" t="inlineStr"/>
    </row>
    <row r="576">
      <c r="A576" s="13" t="inlineStr">
        <is>
          <t>2026-06-28</t>
        </is>
      </c>
      <c r="B576" s="13" t="inlineStr">
        <is>
          <t>silvioiwata.com.br</t>
        </is>
      </c>
      <c r="C576" s="13" t="inlineStr">
        <is>
          <t>Silvio Iwata Imóveis</t>
        </is>
      </c>
      <c r="D576" s="13" t="inlineStr"/>
      <c r="E576" s="13" t="inlineStr">
        <is>
          <t>Terreno</t>
        </is>
      </c>
      <c r="F576" s="13" t="inlineStr">
        <is>
          <t>Jd Espanha</t>
        </is>
      </c>
      <c r="G576" s="13" t="n">
        <v>200</v>
      </c>
      <c r="H576" s="13" t="inlineStr"/>
      <c r="I576" s="13" t="inlineStr"/>
      <c r="K576" s="13" t="inlineStr"/>
      <c r="L576" s="13" t="n">
        <v>190000</v>
      </c>
      <c r="M576" s="13" t="inlineStr">
        <is>
          <t>Ref: 3620004400 | https://silvioiwata.com.br/imovel/3620004400/terreno-a-venda/maringa-pr-jd-espanha</t>
        </is>
      </c>
      <c r="N576" s="13" t="inlineStr">
        <is>
          <t>Novo</t>
        </is>
      </c>
      <c r="O576" s="13" t="inlineStr"/>
    </row>
    <row r="577">
      <c r="A577" s="13" t="inlineStr">
        <is>
          <t>2026-06-28</t>
        </is>
      </c>
      <c r="B577" s="13" t="inlineStr">
        <is>
          <t>silvioiwata.com.br</t>
        </is>
      </c>
      <c r="C577" s="13" t="inlineStr">
        <is>
          <t>Silvio Iwata Imóveis</t>
        </is>
      </c>
      <c r="D577" s="13" t="inlineStr"/>
      <c r="E577" s="13" t="inlineStr">
        <is>
          <t>Terreno</t>
        </is>
      </c>
      <c r="F577" s="13" t="inlineStr">
        <is>
          <t>Jd Paulista Iv</t>
        </is>
      </c>
      <c r="G577" s="13" t="n">
        <v>209.48</v>
      </c>
      <c r="H577" s="13" t="inlineStr"/>
      <c r="I577" s="13" t="inlineStr"/>
      <c r="K577" s="13" t="inlineStr"/>
      <c r="L577" s="13" t="n">
        <v>190000</v>
      </c>
      <c r="M577" s="13" t="inlineStr">
        <is>
          <t>Ref: 3620006971 | https://silvioiwata.com.br/imovel/3620006971/terreno-a-venda/maringa-pr-jd-paulista-iv</t>
        </is>
      </c>
      <c r="N577" s="13" t="inlineStr">
        <is>
          <t>Novo</t>
        </is>
      </c>
      <c r="O577" s="13" t="inlineStr"/>
    </row>
    <row r="578">
      <c r="A578" s="13" t="inlineStr">
        <is>
          <t>2026-06-28</t>
        </is>
      </c>
      <c r="B578" s="13" t="inlineStr">
        <is>
          <t>silvioiwata.com.br</t>
        </is>
      </c>
      <c r="C578" s="13" t="inlineStr">
        <is>
          <t>Silvio Iwata Imóveis</t>
        </is>
      </c>
      <c r="D578" s="13" t="inlineStr"/>
      <c r="E578" s="13" t="inlineStr">
        <is>
          <t>Apartamento</t>
        </is>
      </c>
      <c r="F578" s="13" t="inlineStr">
        <is>
          <t>Loteamento Sumare</t>
        </is>
      </c>
      <c r="G578" s="13" t="n">
        <v>46.73</v>
      </c>
      <c r="H578" s="13" t="n">
        <v>2</v>
      </c>
      <c r="I578" s="13" t="inlineStr"/>
      <c r="K578" s="13" t="n">
        <v>1</v>
      </c>
      <c r="L578" s="13" t="n">
        <v>199000</v>
      </c>
      <c r="M578" s="13" t="inlineStr">
        <is>
          <t>Ref: 3620007541 | https://silvioiwata.com.br/imovel/3620007541/apartamento-a-venda/maringa-pr-loteamento-sumare</t>
        </is>
      </c>
      <c r="N578" s="13" t="inlineStr">
        <is>
          <t>Novo</t>
        </is>
      </c>
      <c r="O578" s="13" t="inlineStr"/>
    </row>
    <row r="579">
      <c r="A579" s="13" t="inlineStr">
        <is>
          <t>2026-06-28</t>
        </is>
      </c>
      <c r="B579" s="13" t="inlineStr">
        <is>
          <t>silvioiwata.com.br</t>
        </is>
      </c>
      <c r="C579" s="13" t="inlineStr">
        <is>
          <t>Silvio Iwata Imóveis</t>
        </is>
      </c>
      <c r="D579" s="13" t="inlineStr"/>
      <c r="E579" s="13" t="inlineStr">
        <is>
          <t>Apartamento</t>
        </is>
      </c>
      <c r="F579" s="13" t="inlineStr">
        <is>
          <t>Cj Hab Inocente Vl Nova Junior</t>
        </is>
      </c>
      <c r="G579" s="13" t="n">
        <v>47.7</v>
      </c>
      <c r="H579" s="13" t="n">
        <v>2</v>
      </c>
      <c r="I579" s="13" t="inlineStr"/>
      <c r="K579" s="13" t="n">
        <v>1</v>
      </c>
      <c r="L579" s="13" t="n">
        <v>210000</v>
      </c>
      <c r="M579" s="13" t="inlineStr">
        <is>
          <t>Ref: 3620006169 | https://silvioiwata.com.br/imovel/3620006169/apartamento-a-venda/maringa-pr-cj-hab-inocente-vl-nova-junior</t>
        </is>
      </c>
      <c r="N579" s="13" t="inlineStr">
        <is>
          <t>Novo</t>
        </is>
      </c>
      <c r="O579" s="13" t="inlineStr"/>
    </row>
    <row r="580">
      <c r="A580" s="13" t="inlineStr">
        <is>
          <t>2026-06-28</t>
        </is>
      </c>
      <c r="B580" s="13" t="inlineStr">
        <is>
          <t>silvioiwata.com.br</t>
        </is>
      </c>
      <c r="C580" s="13" t="inlineStr">
        <is>
          <t>Silvio Iwata Imóveis</t>
        </is>
      </c>
      <c r="D580" s="13" t="inlineStr"/>
      <c r="E580" s="13" t="inlineStr">
        <is>
          <t>Terreno</t>
        </is>
      </c>
      <c r="F580" s="13" t="inlineStr">
        <is>
          <t>Jd Das Estacoes</t>
        </is>
      </c>
      <c r="G580" s="13" t="n">
        <v>300</v>
      </c>
      <c r="H580" s="13" t="inlineStr"/>
      <c r="I580" s="13" t="inlineStr"/>
      <c r="K580" s="13" t="inlineStr"/>
      <c r="L580" s="13" t="n">
        <v>220000</v>
      </c>
      <c r="M580" s="13" t="inlineStr">
        <is>
          <t>Ref: 3620006219 | https://silvioiwata.com.br/imovel/3620006219/terreno-a-venda/maringa-pr-jd-das-estacoes</t>
        </is>
      </c>
      <c r="N580" s="13" t="inlineStr">
        <is>
          <t>Novo</t>
        </is>
      </c>
      <c r="O580" s="13" t="inlineStr"/>
    </row>
    <row r="581">
      <c r="A581" s="13" t="inlineStr">
        <is>
          <t>2026-06-28</t>
        </is>
      </c>
      <c r="B581" s="13" t="inlineStr">
        <is>
          <t>silvioiwata.com.br</t>
        </is>
      </c>
      <c r="C581" s="13" t="inlineStr">
        <is>
          <t>Silvio Iwata Imóveis</t>
        </is>
      </c>
      <c r="D581" s="13" t="inlineStr"/>
      <c r="E581" s="13" t="inlineStr">
        <is>
          <t>Casa</t>
        </is>
      </c>
      <c r="F581" s="13" t="inlineStr">
        <is>
          <t>Moradias Atenas</t>
        </is>
      </c>
      <c r="G581" s="13" t="n">
        <v>59.5</v>
      </c>
      <c r="H581" s="13" t="n">
        <v>2</v>
      </c>
      <c r="I581" s="13" t="inlineStr"/>
      <c r="K581" s="13" t="n">
        <v>2</v>
      </c>
      <c r="L581" s="13" t="n">
        <v>225000</v>
      </c>
      <c r="M581" s="13" t="inlineStr">
        <is>
          <t>Ref: 3620007181 | https://silvioiwata.com.br/imovel/3620007181/casa-a-venda/maringa-pr-moradias-atenas</t>
        </is>
      </c>
      <c r="N581" s="13" t="inlineStr">
        <is>
          <t>Novo</t>
        </is>
      </c>
      <c r="O581" s="13" t="inlineStr"/>
    </row>
    <row r="582">
      <c r="A582" s="13" t="inlineStr">
        <is>
          <t>2026-06-28</t>
        </is>
      </c>
      <c r="B582" s="13" t="inlineStr">
        <is>
          <t>silvioiwata.com.br</t>
        </is>
      </c>
      <c r="C582" s="13" t="inlineStr">
        <is>
          <t>Silvio Iwata Imóveis</t>
        </is>
      </c>
      <c r="D582" s="13" t="inlineStr"/>
      <c r="E582" s="13" t="inlineStr">
        <is>
          <t>Apartamento</t>
        </is>
      </c>
      <c r="F582" s="13" t="inlineStr">
        <is>
          <t>Cj Res Cidade Alta</t>
        </is>
      </c>
      <c r="G582" s="13" t="n">
        <v>49.02</v>
      </c>
      <c r="H582" s="13" t="n">
        <v>2</v>
      </c>
      <c r="I582" s="13" t="inlineStr"/>
      <c r="K582" s="13" t="n">
        <v>1</v>
      </c>
      <c r="L582" s="13" t="n">
        <v>230000</v>
      </c>
      <c r="M582" s="13" t="inlineStr">
        <is>
          <t>Ref: 3620005920 | https://silvioiwata.com.br/imovel/3620005920/apartamento-a-venda/maringa-pr-cj-res-cidade-alta</t>
        </is>
      </c>
      <c r="N582" s="13" t="inlineStr">
        <is>
          <t>Novo</t>
        </is>
      </c>
      <c r="O582" s="13" t="inlineStr"/>
    </row>
    <row r="583">
      <c r="A583" s="13" t="inlineStr">
        <is>
          <t>2026-06-28</t>
        </is>
      </c>
      <c r="B583" s="13" t="inlineStr">
        <is>
          <t>silvioiwata.com.br</t>
        </is>
      </c>
      <c r="C583" s="13" t="inlineStr">
        <is>
          <t>Silvio Iwata Imóveis</t>
        </is>
      </c>
      <c r="D583" s="13" t="inlineStr"/>
      <c r="E583" s="13" t="inlineStr">
        <is>
          <t>Casa</t>
        </is>
      </c>
      <c r="F583" s="13" t="inlineStr">
        <is>
          <t>Cj Res Branca Vieira</t>
        </is>
      </c>
      <c r="G583" s="13" t="n">
        <v>86.37</v>
      </c>
      <c r="H583" s="13" t="n">
        <v>3</v>
      </c>
      <c r="I583" s="13" t="inlineStr"/>
      <c r="K583" s="13" t="inlineStr"/>
      <c r="L583" s="13" t="n">
        <v>230000</v>
      </c>
      <c r="M583" s="13" t="inlineStr">
        <is>
          <t>Ref: 3620007583 | https://silvioiwata.com.br/imovel/3620007583/casa-a-venda/maringa-pr-cj-res-branca-vieira</t>
        </is>
      </c>
      <c r="N583" s="13" t="inlineStr">
        <is>
          <t>Novo</t>
        </is>
      </c>
      <c r="O583" s="13" t="inlineStr"/>
    </row>
    <row r="584">
      <c r="A584" s="13" t="inlineStr">
        <is>
          <t>2026-06-28</t>
        </is>
      </c>
      <c r="B584" s="13" t="inlineStr">
        <is>
          <t>silvioiwata.com.br</t>
        </is>
      </c>
      <c r="C584" s="13" t="inlineStr">
        <is>
          <t>Silvio Iwata Imóveis</t>
        </is>
      </c>
      <c r="D584" s="13" t="inlineStr"/>
      <c r="E584" s="13" t="inlineStr">
        <is>
          <t>Casa</t>
        </is>
      </c>
      <c r="F584" s="13" t="inlineStr">
        <is>
          <t>Cj Hab Sol Nascente</t>
        </is>
      </c>
      <c r="G584" s="13" t="n">
        <v>72.54000000000001</v>
      </c>
      <c r="H584" s="13" t="n">
        <v>3</v>
      </c>
      <c r="I584" s="13" t="inlineStr"/>
      <c r="K584" s="13" t="n">
        <v>1</v>
      </c>
      <c r="L584" s="13" t="n">
        <v>240000</v>
      </c>
      <c r="M584" s="13" t="inlineStr">
        <is>
          <t>Ref: 3620005114 | https://silvioiwata.com.br/imovel/3620005114/casa-a-venda/maringa-pr-cj-hab-sol-nascente</t>
        </is>
      </c>
      <c r="N584" s="13" t="inlineStr">
        <is>
          <t>Novo</t>
        </is>
      </c>
      <c r="O584" s="13" t="inlineStr"/>
    </row>
    <row r="585">
      <c r="A585" s="13" t="inlineStr">
        <is>
          <t>2026-06-28</t>
        </is>
      </c>
      <c r="B585" s="13" t="inlineStr">
        <is>
          <t>silvioiwata.com.br</t>
        </is>
      </c>
      <c r="C585" s="13" t="inlineStr">
        <is>
          <t>Silvio Iwata Imóveis</t>
        </is>
      </c>
      <c r="D585" s="13" t="inlineStr"/>
      <c r="E585" s="13" t="inlineStr">
        <is>
          <t>Casa</t>
        </is>
      </c>
      <c r="F585" s="13" t="inlineStr">
        <is>
          <t>Jd Sao Silvestre</t>
        </is>
      </c>
      <c r="G585" s="13" t="n">
        <v>69.95999999999999</v>
      </c>
      <c r="H585" s="13" t="n">
        <v>2</v>
      </c>
      <c r="I585" s="13" t="inlineStr"/>
      <c r="K585" s="13" t="n">
        <v>1</v>
      </c>
      <c r="L585" s="13" t="n">
        <v>240000</v>
      </c>
      <c r="M585" s="13" t="inlineStr">
        <is>
          <t>Ref: 3620007327 | https://silvioiwata.com.br/imovel/3620007327/casa-a-venda/maringa-pr-jd-sao-silvestre</t>
        </is>
      </c>
      <c r="N585" s="13" t="inlineStr">
        <is>
          <t>Novo</t>
        </is>
      </c>
      <c r="O585" s="13" t="inlineStr"/>
    </row>
    <row r="586">
      <c r="A586" s="13" t="inlineStr">
        <is>
          <t>2026-06-28</t>
        </is>
      </c>
      <c r="B586" s="13" t="inlineStr">
        <is>
          <t>silvioiwata.com.br</t>
        </is>
      </c>
      <c r="C586" s="13" t="inlineStr">
        <is>
          <t>Silvio Iwata Imóveis</t>
        </is>
      </c>
      <c r="D586" s="13" t="inlineStr"/>
      <c r="E586" s="13" t="inlineStr">
        <is>
          <t>Apartamento</t>
        </is>
      </c>
      <c r="F586" s="13" t="inlineStr">
        <is>
          <t>Jd Alvorada</t>
        </is>
      </c>
      <c r="G586" s="13" t="n">
        <v>46.25</v>
      </c>
      <c r="H586" s="13" t="n">
        <v>2</v>
      </c>
      <c r="I586" s="13" t="inlineStr"/>
      <c r="K586" s="13" t="n">
        <v>1</v>
      </c>
      <c r="L586" s="13" t="n">
        <v>249000</v>
      </c>
      <c r="M586" s="13" t="inlineStr">
        <is>
          <t>Ref: 3620007778 | https://silvioiwata.com.br/imovel/3620007778/apartamento-a-venda/maringa-pr-jd-alvorada</t>
        </is>
      </c>
      <c r="N586" s="13" t="inlineStr">
        <is>
          <t>Novo</t>
        </is>
      </c>
      <c r="O586" s="13" t="inlineStr"/>
    </row>
    <row r="587">
      <c r="A587" s="13" t="inlineStr">
        <is>
          <t>2026-06-28</t>
        </is>
      </c>
      <c r="B587" s="13" t="inlineStr">
        <is>
          <t>silvioiwata.com.br</t>
        </is>
      </c>
      <c r="C587" s="13" t="inlineStr">
        <is>
          <t>Silvio Iwata Imóveis</t>
        </is>
      </c>
      <c r="D587" s="13" t="inlineStr"/>
      <c r="E587" s="13" t="inlineStr">
        <is>
          <t>Terreno</t>
        </is>
      </c>
      <c r="F587" s="13" t="inlineStr">
        <is>
          <t>Condominio Santa Maria</t>
        </is>
      </c>
      <c r="G587" s="13" t="n">
        <v>500</v>
      </c>
      <c r="H587" s="13" t="inlineStr"/>
      <c r="I587" s="13" t="inlineStr"/>
      <c r="K587" s="13" t="inlineStr"/>
      <c r="L587" s="13" t="n">
        <v>250000</v>
      </c>
      <c r="M587" s="13" t="inlineStr">
        <is>
          <t>Ref: 3620004998 | https://silvioiwata.com.br/imovel/3620004998/terreno-a-venda/maringa-pr-condominio-santa-maria</t>
        </is>
      </c>
      <c r="N587" s="13" t="inlineStr">
        <is>
          <t>Novo</t>
        </is>
      </c>
      <c r="O587" s="13" t="inlineStr"/>
    </row>
    <row r="588">
      <c r="A588" s="13" t="inlineStr">
        <is>
          <t>2026-06-28</t>
        </is>
      </c>
      <c r="B588" s="13" t="inlineStr">
        <is>
          <t>silvioiwata.com.br</t>
        </is>
      </c>
      <c r="C588" s="13" t="inlineStr">
        <is>
          <t>Silvio Iwata Imóveis</t>
        </is>
      </c>
      <c r="D588" s="13" t="inlineStr"/>
      <c r="E588" s="13" t="inlineStr">
        <is>
          <t>Terreno Comercial</t>
        </is>
      </c>
      <c r="F588" s="13" t="inlineStr">
        <is>
          <t>Jd Colombo Distrito Sao Domingos</t>
        </is>
      </c>
      <c r="G588" s="13" t="n">
        <v>498.39</v>
      </c>
      <c r="H588" s="13" t="inlineStr"/>
      <c r="I588" s="13" t="inlineStr"/>
      <c r="K588" s="13" t="inlineStr"/>
      <c r="L588" s="13" t="n">
        <v>250000</v>
      </c>
      <c r="M588" s="13" t="inlineStr">
        <is>
          <t>Ref: 3620006418 | https://silvioiwata.com.br/imovel/3620006418/terreno-comercial-a-venda/maringa-pr-jd-colombo-distrito-sao-domingos</t>
        </is>
      </c>
      <c r="N588" s="13" t="inlineStr">
        <is>
          <t>Novo</t>
        </is>
      </c>
      <c r="O588" s="13" t="inlineStr"/>
    </row>
    <row r="589">
      <c r="A589" s="13" t="inlineStr">
        <is>
          <t>2026-06-28</t>
        </is>
      </c>
      <c r="B589" s="13" t="inlineStr">
        <is>
          <t>silvioiwata.com.br</t>
        </is>
      </c>
      <c r="C589" s="13" t="inlineStr">
        <is>
          <t>Silvio Iwata Imóveis</t>
        </is>
      </c>
      <c r="D589" s="13" t="inlineStr"/>
      <c r="E589" s="13" t="inlineStr">
        <is>
          <t>Apartamento</t>
        </is>
      </c>
      <c r="F589" s="13" t="inlineStr">
        <is>
          <t>Jd Novo Horizonte</t>
        </is>
      </c>
      <c r="G589" s="13" t="n">
        <v>64.90000000000001</v>
      </c>
      <c r="H589" s="13" t="n">
        <v>3</v>
      </c>
      <c r="I589" s="13" t="inlineStr"/>
      <c r="K589" s="13" t="n">
        <v>1</v>
      </c>
      <c r="L589" s="13" t="n">
        <v>250000</v>
      </c>
      <c r="M589" s="13" t="inlineStr">
        <is>
          <t>Ref: 3620007080 | https://silvioiwata.com.br/imovel/3620007080/apartamento-a-venda/maringa-pr-jd-novo-horizonte</t>
        </is>
      </c>
      <c r="N589" s="13" t="inlineStr">
        <is>
          <t>Novo</t>
        </is>
      </c>
      <c r="O589" s="13" t="inlineStr"/>
    </row>
    <row r="590">
      <c r="A590" s="13" t="inlineStr">
        <is>
          <t>2026-06-28</t>
        </is>
      </c>
      <c r="B590" s="13" t="inlineStr">
        <is>
          <t>silvioiwata.com.br</t>
        </is>
      </c>
      <c r="C590" s="13" t="inlineStr">
        <is>
          <t>Silvio Iwata Imóveis</t>
        </is>
      </c>
      <c r="D590" s="13" t="inlineStr"/>
      <c r="E590" s="13" t="inlineStr">
        <is>
          <t>Casa</t>
        </is>
      </c>
      <c r="F590" s="13" t="inlineStr">
        <is>
          <t>Pq Hortencia</t>
        </is>
      </c>
      <c r="G590" s="13" t="n">
        <v>48</v>
      </c>
      <c r="H590" s="13" t="n">
        <v>2</v>
      </c>
      <c r="I590" s="13" t="inlineStr"/>
      <c r="K590" s="13" t="n">
        <v>2</v>
      </c>
      <c r="L590" s="13" t="n">
        <v>250000</v>
      </c>
      <c r="M590" s="13" t="inlineStr">
        <is>
          <t>Ref: 3620007369 | https://silvioiwata.com.br/imovel/3620007369/casa-a-venda/maringa-pr-pq-hortencia</t>
        </is>
      </c>
      <c r="N590" s="13" t="inlineStr">
        <is>
          <t>Novo</t>
        </is>
      </c>
      <c r="O590" s="13" t="inlineStr"/>
    </row>
    <row r="591">
      <c r="A591" s="13" t="inlineStr">
        <is>
          <t>2026-06-28</t>
        </is>
      </c>
      <c r="B591" s="13" t="inlineStr">
        <is>
          <t>silvioiwata.com.br</t>
        </is>
      </c>
      <c r="C591" s="13" t="inlineStr">
        <is>
          <t>Silvio Iwata Imóveis</t>
        </is>
      </c>
      <c r="D591" s="13" t="inlineStr"/>
      <c r="E591" s="13" t="inlineStr">
        <is>
          <t>Apartamento</t>
        </is>
      </c>
      <c r="F591" s="13" t="inlineStr">
        <is>
          <t>Zona Armazem</t>
        </is>
      </c>
      <c r="G591" s="13" t="n">
        <v>65</v>
      </c>
      <c r="H591" s="13" t="n">
        <v>3</v>
      </c>
      <c r="I591" s="13" t="inlineStr"/>
      <c r="K591" s="13" t="n">
        <v>1</v>
      </c>
      <c r="L591" s="13" t="n">
        <v>250000</v>
      </c>
      <c r="M591" s="13" t="inlineStr">
        <is>
          <t>Ref: 3620007515 | https://silvioiwata.com.br/imovel/3620007515/apartamento-a-venda/maringa-pr-zona-armazem</t>
        </is>
      </c>
      <c r="N591" s="13" t="inlineStr">
        <is>
          <t>Novo</t>
        </is>
      </c>
      <c r="O591" s="13" t="inlineStr"/>
    </row>
    <row r="592">
      <c r="A592" s="13" t="inlineStr">
        <is>
          <t>2026-06-28</t>
        </is>
      </c>
      <c r="B592" s="13" t="inlineStr">
        <is>
          <t>silvioiwata.com.br</t>
        </is>
      </c>
      <c r="C592" s="13" t="inlineStr">
        <is>
          <t>Silvio Iwata Imóveis</t>
        </is>
      </c>
      <c r="D592" s="13" t="inlineStr"/>
      <c r="E592" s="13" t="inlineStr">
        <is>
          <t>Apartamento Kitnet</t>
        </is>
      </c>
      <c r="F592" s="13" t="inlineStr">
        <is>
          <t>Chacara Paulista</t>
        </is>
      </c>
      <c r="G592" s="13" t="n">
        <v>21.97</v>
      </c>
      <c r="H592" s="13" t="n">
        <v>1</v>
      </c>
      <c r="I592" s="13" t="inlineStr"/>
      <c r="K592" s="13" t="n">
        <v>1</v>
      </c>
      <c r="L592" s="13" t="n">
        <v>250000</v>
      </c>
      <c r="M592" s="13" t="inlineStr">
        <is>
          <t>Ref: 3620007682 | https://silvioiwata.com.br/imovel/3620007682/apartamento-kitnet-a-venda/maringa-pr-chacara-paulista</t>
        </is>
      </c>
      <c r="N592" s="13" t="inlineStr">
        <is>
          <t>Novo</t>
        </is>
      </c>
      <c r="O592" s="13" t="inlineStr"/>
    </row>
    <row r="593">
      <c r="A593" s="13" t="inlineStr">
        <is>
          <t>2026-06-28</t>
        </is>
      </c>
      <c r="B593" s="13" t="inlineStr">
        <is>
          <t>silvioiwata.com.br</t>
        </is>
      </c>
      <c r="C593" s="13" t="inlineStr">
        <is>
          <t>Silvio Iwata Imóveis</t>
        </is>
      </c>
      <c r="D593" s="13" t="inlineStr"/>
      <c r="E593" s="13" t="inlineStr">
        <is>
          <t>Terreno</t>
        </is>
      </c>
      <c r="F593" s="13" t="inlineStr">
        <is>
          <t>Alto Das Grevileas</t>
        </is>
      </c>
      <c r="G593" s="13" t="n">
        <v>408</v>
      </c>
      <c r="H593" s="13" t="inlineStr"/>
      <c r="I593" s="13" t="inlineStr"/>
      <c r="K593" s="13" t="inlineStr"/>
      <c r="L593" s="13" t="n">
        <v>260000</v>
      </c>
      <c r="M593" s="13" t="inlineStr">
        <is>
          <t>Ref: 3620004397 | https://silvioiwata.com.br/imovel/3620004397/terreno-a-venda/maringa-pr-alto-das-grevileas</t>
        </is>
      </c>
      <c r="N593" s="13" t="inlineStr">
        <is>
          <t>Novo</t>
        </is>
      </c>
      <c r="O593" s="13" t="inlineStr"/>
    </row>
    <row r="594">
      <c r="A594" s="13" t="inlineStr">
        <is>
          <t>2026-06-28</t>
        </is>
      </c>
      <c r="B594" s="13" t="inlineStr">
        <is>
          <t>silvioiwata.com.br</t>
        </is>
      </c>
      <c r="C594" s="13" t="inlineStr">
        <is>
          <t>Silvio Iwata Imóveis</t>
        </is>
      </c>
      <c r="D594" s="13" t="inlineStr"/>
      <c r="E594" s="13" t="inlineStr">
        <is>
          <t>Terreno</t>
        </is>
      </c>
      <c r="F594" s="13" t="inlineStr">
        <is>
          <t>Bom Jd</t>
        </is>
      </c>
      <c r="G594" s="13" t="n">
        <v>430.16</v>
      </c>
      <c r="H594" s="13" t="inlineStr"/>
      <c r="I594" s="13" t="inlineStr"/>
      <c r="K594" s="13" t="inlineStr"/>
      <c r="L594" s="13" t="n">
        <v>260000</v>
      </c>
      <c r="M594" s="13" t="inlineStr">
        <is>
          <t>Ref: 3620007474 | https://silvioiwata.com.br/imovel/3620007474/terreno-a-venda/maringa-pr-bom-jd</t>
        </is>
      </c>
      <c r="N594" s="13" t="inlineStr">
        <is>
          <t>Novo</t>
        </is>
      </c>
      <c r="O594" s="13" t="inlineStr"/>
    </row>
    <row r="595">
      <c r="A595" s="13" t="inlineStr">
        <is>
          <t>2026-06-28</t>
        </is>
      </c>
      <c r="B595" s="13" t="inlineStr">
        <is>
          <t>silvioiwata.com.br</t>
        </is>
      </c>
      <c r="C595" s="13" t="inlineStr">
        <is>
          <t>Silvio Iwata Imóveis</t>
        </is>
      </c>
      <c r="D595" s="13" t="inlineStr"/>
      <c r="E595" s="13" t="inlineStr">
        <is>
          <t>Apartamento</t>
        </is>
      </c>
      <c r="F595" s="13" t="inlineStr">
        <is>
          <t>Vl Cleopatra</t>
        </is>
      </c>
      <c r="G595" s="13" t="n">
        <v>61.07</v>
      </c>
      <c r="H595" s="13" t="n">
        <v>2</v>
      </c>
      <c r="I595" s="13" t="n">
        <v>1</v>
      </c>
      <c r="K595" s="13" t="n">
        <v>1</v>
      </c>
      <c r="L595" s="13" t="n">
        <v>260000</v>
      </c>
      <c r="M595" s="13" t="inlineStr">
        <is>
          <t>Ref: 3620007776 | https://silvioiwata.com.br/imovel/3620007776/apartamento-a-venda/maringa-pr-vl-cleopatra</t>
        </is>
      </c>
      <c r="N595" s="13" t="inlineStr">
        <is>
          <t>Novo</t>
        </is>
      </c>
      <c r="O595" s="13" t="inlineStr"/>
    </row>
    <row r="596">
      <c r="A596" s="13" t="inlineStr">
        <is>
          <t>2026-06-28</t>
        </is>
      </c>
      <c r="B596" s="13" t="inlineStr">
        <is>
          <t>silvioiwata.com.br</t>
        </is>
      </c>
      <c r="C596" s="13" t="inlineStr">
        <is>
          <t>Silvio Iwata Imóveis</t>
        </is>
      </c>
      <c r="D596" s="13" t="inlineStr"/>
      <c r="E596" s="13" t="inlineStr">
        <is>
          <t>Apartamento</t>
        </is>
      </c>
      <c r="F596" s="13" t="inlineStr">
        <is>
          <t>Ebenezer</t>
        </is>
      </c>
      <c r="G596" s="13" t="n">
        <v>49.84</v>
      </c>
      <c r="H596" s="13" t="n">
        <v>2</v>
      </c>
      <c r="I596" s="13" t="inlineStr"/>
      <c r="K596" s="13" t="n">
        <v>1</v>
      </c>
      <c r="L596" s="13" t="n">
        <v>265000</v>
      </c>
      <c r="M596" s="13" t="inlineStr">
        <is>
          <t>Ref: 3620007350 | https://silvioiwata.com.br/imovel/3620007350/apartamento-a-venda/maringa-pr-ebenezer</t>
        </is>
      </c>
      <c r="N596" s="13" t="inlineStr">
        <is>
          <t>Novo</t>
        </is>
      </c>
      <c r="O596" s="13" t="inlineStr"/>
    </row>
    <row r="597">
      <c r="A597" s="13" t="inlineStr">
        <is>
          <t>2026-06-28</t>
        </is>
      </c>
      <c r="B597" s="13" t="inlineStr">
        <is>
          <t>silvioiwata.com.br</t>
        </is>
      </c>
      <c r="C597" s="13" t="inlineStr">
        <is>
          <t>Silvio Iwata Imóveis</t>
        </is>
      </c>
      <c r="D597" s="13" t="inlineStr"/>
      <c r="E597" s="13" t="inlineStr">
        <is>
          <t>Terreno</t>
        </is>
      </c>
      <c r="F597" s="13" t="inlineStr">
        <is>
          <t>Jd Italia Ii</t>
        </is>
      </c>
      <c r="G597" s="13" t="n">
        <v>150</v>
      </c>
      <c r="H597" s="13" t="inlineStr"/>
      <c r="I597" s="13" t="inlineStr"/>
      <c r="K597" s="13" t="inlineStr"/>
      <c r="L597" s="13" t="n">
        <v>270000</v>
      </c>
      <c r="M597" s="13" t="inlineStr">
        <is>
          <t>Ref: 3620007514 | https://silvioiwata.com.br/imovel/3620007514/terreno-a-venda/maringa-pr-jd-italia-ii</t>
        </is>
      </c>
      <c r="N597" s="13" t="inlineStr">
        <is>
          <t>Novo</t>
        </is>
      </c>
      <c r="O597" s="13" t="inlineStr"/>
    </row>
    <row r="598">
      <c r="A598" s="13" t="inlineStr">
        <is>
          <t>2026-06-28</t>
        </is>
      </c>
      <c r="B598" s="13" t="inlineStr">
        <is>
          <t>silvioiwata.com.br</t>
        </is>
      </c>
      <c r="C598" s="13" t="inlineStr">
        <is>
          <t>Silvio Iwata Imóveis</t>
        </is>
      </c>
      <c r="D598" s="13" t="inlineStr"/>
      <c r="E598" s="13" t="inlineStr">
        <is>
          <t>Casa</t>
        </is>
      </c>
      <c r="F598" s="13" t="inlineStr">
        <is>
          <t>Pq Das Grevileas</t>
        </is>
      </c>
      <c r="G598" s="13" t="n">
        <v>111.46</v>
      </c>
      <c r="H598" s="13" t="n">
        <v>3</v>
      </c>
      <c r="I598" s="13" t="inlineStr"/>
      <c r="K598" s="13" t="n">
        <v>2</v>
      </c>
      <c r="L598" s="13" t="n">
        <v>275000</v>
      </c>
      <c r="M598" s="13" t="inlineStr">
        <is>
          <t>Ref: 3620007540 | https://silvioiwata.com.br/imovel/3620007540/casa-a-venda/maringa-pr-pq-das-grevileas</t>
        </is>
      </c>
      <c r="N598" s="13" t="inlineStr">
        <is>
          <t>Novo</t>
        </is>
      </c>
      <c r="O598" s="13" t="inlineStr"/>
    </row>
    <row r="599">
      <c r="A599" s="13" t="inlineStr">
        <is>
          <t>2026-06-28</t>
        </is>
      </c>
      <c r="B599" s="13" t="inlineStr">
        <is>
          <t>silvioiwata.com.br</t>
        </is>
      </c>
      <c r="C599" s="13" t="inlineStr">
        <is>
          <t>Silvio Iwata Imóveis</t>
        </is>
      </c>
      <c r="D599" s="13" t="inlineStr"/>
      <c r="E599" s="13" t="inlineStr">
        <is>
          <t>Terreno Comercial</t>
        </is>
      </c>
      <c r="F599" s="13" t="inlineStr">
        <is>
          <t>Jd Tres Lagoas</t>
        </is>
      </c>
      <c r="G599" s="13" t="n">
        <v>369.84</v>
      </c>
      <c r="H599" s="13" t="inlineStr"/>
      <c r="I599" s="13" t="inlineStr"/>
      <c r="K599" s="13" t="inlineStr"/>
      <c r="L599" s="13" t="n">
        <v>280000</v>
      </c>
      <c r="M599" s="13" t="inlineStr">
        <is>
          <t>Ref: 3620004233 | https://silvioiwata.com.br/imovel/3620004233/terreno-comercial-a-venda/maringa-pr-jd-tres-lagoas</t>
        </is>
      </c>
      <c r="N599" s="13" t="inlineStr">
        <is>
          <t>Novo</t>
        </is>
      </c>
      <c r="O599" s="13" t="inlineStr"/>
    </row>
    <row r="600">
      <c r="A600" s="13" t="inlineStr">
        <is>
          <t>2026-06-28</t>
        </is>
      </c>
      <c r="B600" s="13" t="inlineStr">
        <is>
          <t>silvioiwata.com.br</t>
        </is>
      </c>
      <c r="C600" s="13" t="inlineStr">
        <is>
          <t>Silvio Iwata Imóveis</t>
        </is>
      </c>
      <c r="D600" s="13" t="inlineStr"/>
      <c r="E600" s="13" t="inlineStr">
        <is>
          <t>Apartamento</t>
        </is>
      </c>
      <c r="F600" s="13" t="inlineStr">
        <is>
          <t>Jd America</t>
        </is>
      </c>
      <c r="G600" s="13" t="n">
        <v>46.6</v>
      </c>
      <c r="H600" s="13" t="n">
        <v>2</v>
      </c>
      <c r="I600" s="13" t="inlineStr"/>
      <c r="K600" s="13" t="n">
        <v>1</v>
      </c>
      <c r="L600" s="13" t="n">
        <v>280000</v>
      </c>
      <c r="M600" s="13" t="inlineStr">
        <is>
          <t>Ref: 3620007698 | https://silvioiwata.com.br/imovel/3620007698/apartamento-a-venda/maringa-pr-jd-america</t>
        </is>
      </c>
      <c r="N600" s="13" t="inlineStr">
        <is>
          <t>Novo</t>
        </is>
      </c>
      <c r="O600" s="13" t="inlineStr"/>
    </row>
    <row r="601">
      <c r="A601" s="13" t="inlineStr">
        <is>
          <t>2026-06-28</t>
        </is>
      </c>
      <c r="B601" s="13" t="inlineStr">
        <is>
          <t>silvioiwata.com.br</t>
        </is>
      </c>
      <c r="C601" s="13" t="inlineStr">
        <is>
          <t>Silvio Iwata Imóveis</t>
        </is>
      </c>
      <c r="D601" s="13" t="inlineStr"/>
      <c r="E601" s="13" t="inlineStr">
        <is>
          <t>Apartamento</t>
        </is>
      </c>
      <c r="F601" s="13" t="inlineStr">
        <is>
          <t>Pq Taruma</t>
        </is>
      </c>
      <c r="G601" s="13" t="n">
        <v>45.39</v>
      </c>
      <c r="H601" s="13" t="n">
        <v>2</v>
      </c>
      <c r="I601" s="13" t="inlineStr"/>
      <c r="K601" s="13" t="n">
        <v>1</v>
      </c>
      <c r="L601" s="13" t="n">
        <v>285000</v>
      </c>
      <c r="M601" s="13" t="inlineStr">
        <is>
          <t>Ref: 3620007424 | https://silvioiwata.com.br/imovel/3620007424/apartamento-a-venda/maringa-pr-pq-taruma</t>
        </is>
      </c>
      <c r="N601" s="13" t="inlineStr">
        <is>
          <t>Novo</t>
        </is>
      </c>
      <c r="O601" s="13" t="inlineStr"/>
    </row>
    <row r="602">
      <c r="A602" s="13" t="inlineStr">
        <is>
          <t>2026-06-28</t>
        </is>
      </c>
      <c r="B602" s="13" t="inlineStr">
        <is>
          <t>casadocorretormga.com.br</t>
        </is>
      </c>
      <c r="C602" s="13" t="inlineStr">
        <is>
          <t>Casa do Corretor MGA</t>
        </is>
      </c>
      <c r="D602" s="13" t="inlineStr"/>
      <c r="E602" s="13" t="inlineStr">
        <is>
          <t>Apartamento</t>
        </is>
      </c>
      <c r="F602" s="13" t="inlineStr">
        <is>
          <t>Rua José Granado Parra, Residencial Paulista</t>
        </is>
      </c>
      <c r="G602" s="13" t="n">
        <v>52</v>
      </c>
      <c r="H602" s="13" t="inlineStr"/>
      <c r="I602" s="13" t="inlineStr"/>
      <c r="K602" s="13" t="inlineStr"/>
      <c r="L602" s="13" t="inlineStr"/>
      <c r="M602" s="13" t="inlineStr">
        <is>
          <t>Ref: 13820000520 | https://casadocorretormga.com.br/imovel/13820000520/</t>
        </is>
      </c>
      <c r="N602" s="13" t="inlineStr">
        <is>
          <t>Novo</t>
        </is>
      </c>
      <c r="O602" s="13" t="inlineStr"/>
    </row>
    <row r="603">
      <c r="A603" s="13" t="inlineStr">
        <is>
          <t>2026-06-28</t>
        </is>
      </c>
      <c r="B603" s="13" t="inlineStr">
        <is>
          <t>casadocorretormga.com.br</t>
        </is>
      </c>
      <c r="C603" s="13" t="inlineStr">
        <is>
          <t>Casa do Corretor MGA</t>
        </is>
      </c>
      <c r="D603" s="13" t="inlineStr"/>
      <c r="E603" s="13" t="inlineStr">
        <is>
          <t>Terreno</t>
        </is>
      </c>
      <c r="F603" s="13" t="inlineStr">
        <is>
          <t>Rua Agostinho Sanches Martins, Jardim Marajoara (Iguatemi)</t>
        </is>
      </c>
      <c r="G603" s="13" t="n">
        <v>336</v>
      </c>
      <c r="H603" s="13" t="inlineStr"/>
      <c r="I603" s="13" t="inlineStr"/>
      <c r="K603" s="13" t="inlineStr"/>
      <c r="L603" s="13" t="n">
        <v>150000</v>
      </c>
      <c r="M603" s="13" t="inlineStr">
        <is>
          <t>Ref: 13820000296 | https://casadocorretormga.com.br/imovel/13820000296/</t>
        </is>
      </c>
      <c r="N603" s="13" t="inlineStr">
        <is>
          <t>Novo</t>
        </is>
      </c>
      <c r="O603" s="13" t="inlineStr"/>
    </row>
    <row r="604">
      <c r="A604" s="13" t="inlineStr">
        <is>
          <t>2026-06-28</t>
        </is>
      </c>
      <c r="B604" s="13" t="inlineStr">
        <is>
          <t>casadocorretormga.com.br</t>
        </is>
      </c>
      <c r="C604" s="13" t="inlineStr">
        <is>
          <t>Casa do Corretor MGA</t>
        </is>
      </c>
      <c r="D604" s="13" t="inlineStr"/>
      <c r="E604" s="13" t="inlineStr">
        <is>
          <t>Terreno</t>
        </is>
      </c>
      <c r="F604" s="13" t="inlineStr">
        <is>
          <t>Rua Guilherme Augusto Ribeiro Silva, Jardim Oriental</t>
        </is>
      </c>
      <c r="G604" s="13" t="n">
        <v>200</v>
      </c>
      <c r="H604" s="13" t="inlineStr"/>
      <c r="I604" s="13" t="inlineStr"/>
      <c r="K604" s="13" t="inlineStr"/>
      <c r="L604" s="13" t="n">
        <v>190000</v>
      </c>
      <c r="M604" s="13" t="inlineStr">
        <is>
          <t>Ref: 13820000513 | https://casadocorretormga.com.br/imovel/13820000513/</t>
        </is>
      </c>
      <c r="N604" s="13" t="inlineStr">
        <is>
          <t>Novo</t>
        </is>
      </c>
      <c r="O604" s="13" t="inlineStr"/>
    </row>
    <row r="605">
      <c r="A605" s="13" t="inlineStr">
        <is>
          <t>2026-06-28</t>
        </is>
      </c>
      <c r="B605" s="13" t="inlineStr">
        <is>
          <t>casadocorretormga.com.br</t>
        </is>
      </c>
      <c r="C605" s="13" t="inlineStr">
        <is>
          <t>Casa do Corretor MGA</t>
        </is>
      </c>
      <c r="D605" s="13" t="inlineStr"/>
      <c r="E605" s="13" t="inlineStr">
        <is>
          <t>Terreno</t>
        </is>
      </c>
      <c r="F605" s="13" t="inlineStr">
        <is>
          <t>Rua Romildo Schiavão, Loteamento Sumarã‰</t>
        </is>
      </c>
      <c r="G605" s="13" t="n">
        <v>324</v>
      </c>
      <c r="H605" s="13" t="inlineStr"/>
      <c r="I605" s="13" t="inlineStr"/>
      <c r="K605" s="13" t="inlineStr"/>
      <c r="L605" s="13" t="n">
        <v>230000</v>
      </c>
      <c r="M605" s="13" t="inlineStr">
        <is>
          <t>Ref: 13820000327 | https://casadocorretormga.com.br/imovel/13820000327/</t>
        </is>
      </c>
      <c r="N605" s="13" t="inlineStr">
        <is>
          <t>Novo</t>
        </is>
      </c>
      <c r="O605" s="13" t="inlineStr"/>
    </row>
    <row r="606">
      <c r="A606" s="13" t="inlineStr">
        <is>
          <t>2026-06-28</t>
        </is>
      </c>
      <c r="B606" s="13" t="inlineStr">
        <is>
          <t>casadocorretormga.com.br</t>
        </is>
      </c>
      <c r="C606" s="13" t="inlineStr">
        <is>
          <t>Casa do Corretor MGA</t>
        </is>
      </c>
      <c r="D606" s="13" t="inlineStr"/>
      <c r="E606" s="13" t="inlineStr">
        <is>
          <t>Apartamento</t>
        </is>
      </c>
      <c r="F606" s="13" t="inlineStr">
        <is>
          <t>Rua Maria Aparecida Bragion Pignata, Residencial Cittrino</t>
        </is>
      </c>
      <c r="G606" s="13" t="n">
        <v>49</v>
      </c>
      <c r="H606" s="13" t="inlineStr"/>
      <c r="I606" s="13" t="inlineStr"/>
      <c r="K606" s="13" t="inlineStr"/>
      <c r="L606" s="13" t="n">
        <v>250000</v>
      </c>
      <c r="M606" s="13" t="inlineStr">
        <is>
          <t>Ref: 13820000453 | https://casadocorretormga.com.br/imovel/13820000453/</t>
        </is>
      </c>
      <c r="N606" s="13" t="inlineStr">
        <is>
          <t>Novo</t>
        </is>
      </c>
      <c r="O606" s="13" t="inlineStr"/>
    </row>
    <row r="607">
      <c r="A607" s="13" t="inlineStr">
        <is>
          <t>2026-06-28</t>
        </is>
      </c>
      <c r="B607" s="13" t="inlineStr">
        <is>
          <t>casadocorretormga.com.br</t>
        </is>
      </c>
      <c r="C607" s="13" t="inlineStr">
        <is>
          <t>Casa do Corretor MGA</t>
        </is>
      </c>
      <c r="D607" s="13" t="inlineStr"/>
      <c r="E607" s="13" t="inlineStr">
        <is>
          <t>Terreno</t>
        </is>
      </c>
      <c r="F607" s="13" t="inlineStr">
        <is>
          <t>Rua Ceará, Jardim Alvorada</t>
        </is>
      </c>
      <c r="G607" s="13" t="n">
        <v>250</v>
      </c>
      <c r="H607" s="13" t="inlineStr"/>
      <c r="I607" s="13" t="inlineStr"/>
      <c r="K607" s="13" t="inlineStr"/>
      <c r="L607" s="13" t="n">
        <v>250000</v>
      </c>
      <c r="M607" s="13" t="inlineStr">
        <is>
          <t>Ref: 13820000502 | https://casadocorretormga.com.br/imovel/13820000502/</t>
        </is>
      </c>
      <c r="N607" s="13" t="inlineStr">
        <is>
          <t>Novo</t>
        </is>
      </c>
      <c r="O607" s="13" t="inlineStr"/>
    </row>
    <row r="608">
      <c r="A608" s="13" t="inlineStr">
        <is>
          <t>2026-06-28</t>
        </is>
      </c>
      <c r="B608" s="13" t="inlineStr">
        <is>
          <t>casadocorretormga.com.br</t>
        </is>
      </c>
      <c r="C608" s="13" t="inlineStr">
        <is>
          <t>Casa do Corretor MGA</t>
        </is>
      </c>
      <c r="D608" s="13" t="inlineStr"/>
      <c r="E608" s="13" t="inlineStr">
        <is>
          <t>Terreno</t>
        </is>
      </c>
      <c r="F608" s="13" t="inlineStr">
        <is>
          <t>Rua Esmeralda, Jardim Monte Rei</t>
        </is>
      </c>
      <c r="G608" s="13" t="n">
        <v>350</v>
      </c>
      <c r="H608" s="13" t="inlineStr"/>
      <c r="I608" s="13" t="inlineStr"/>
      <c r="K608" s="13" t="inlineStr"/>
      <c r="L608" s="13" t="n">
        <v>270000</v>
      </c>
      <c r="M608" s="13" t="inlineStr">
        <is>
          <t>Ref: 13820000307 | https://casadocorretormga.com.br/imovel/13820000307/</t>
        </is>
      </c>
      <c r="N608" s="13" t="inlineStr">
        <is>
          <t>Novo</t>
        </is>
      </c>
      <c r="O608" s="13" t="inlineStr"/>
    </row>
    <row r="609">
      <c r="A609" s="13" t="inlineStr">
        <is>
          <t>2026-06-28</t>
        </is>
      </c>
      <c r="B609" s="13" t="inlineStr">
        <is>
          <t>casadocorretormga.com.br</t>
        </is>
      </c>
      <c r="C609" s="13" t="inlineStr">
        <is>
          <t>Casa do Corretor MGA</t>
        </is>
      </c>
      <c r="D609" s="13" t="inlineStr"/>
      <c r="E609" s="13" t="inlineStr">
        <is>
          <t>Casa</t>
        </is>
      </c>
      <c r="F609" s="13" t="inlineStr">
        <is>
          <t>Rua Carqueja, Loteamento Madrid</t>
        </is>
      </c>
      <c r="G609" s="13" t="n">
        <v>75</v>
      </c>
      <c r="H609" s="13" t="inlineStr"/>
      <c r="I609" s="13" t="inlineStr"/>
      <c r="K609" s="13" t="inlineStr"/>
      <c r="L609" s="13" t="n">
        <v>270000</v>
      </c>
      <c r="M609" s="13" t="inlineStr">
        <is>
          <t>Ref: 13820000515 | https://casadocorretormga.com.br/imovel/13820000515/</t>
        </is>
      </c>
      <c r="N609" s="13" t="inlineStr">
        <is>
          <t>Novo</t>
        </is>
      </c>
      <c r="O609" s="13" t="inlineStr"/>
    </row>
    <row r="610">
      <c r="A610" s="13" t="inlineStr">
        <is>
          <t>2026-06-28</t>
        </is>
      </c>
      <c r="B610" s="13" t="inlineStr">
        <is>
          <t>casadocorretormga.com.br</t>
        </is>
      </c>
      <c r="C610" s="13" t="inlineStr">
        <is>
          <t>Casa do Corretor MGA</t>
        </is>
      </c>
      <c r="D610" s="13" t="inlineStr"/>
      <c r="E610" s="13" t="inlineStr">
        <is>
          <t>Apartamento</t>
        </is>
      </c>
      <c r="F610" s="13" t="inlineStr">
        <is>
          <t>Avenida Humaitá, Residencial Ãgua Viva</t>
        </is>
      </c>
      <c r="G610" s="13" t="n">
        <v>101.14</v>
      </c>
      <c r="H610" s="13" t="inlineStr"/>
      <c r="I610" s="13" t="inlineStr"/>
      <c r="K610" s="13" t="inlineStr"/>
      <c r="L610" s="13" t="n">
        <v>420000</v>
      </c>
      <c r="M610" s="13" t="inlineStr">
        <is>
          <t>Ref: 13820000500 | https://casadocorretormga.com.br/imovel/13820000500/</t>
        </is>
      </c>
      <c r="N610" s="13" t="inlineStr">
        <is>
          <t>Novo</t>
        </is>
      </c>
      <c r="O610" s="13" t="inlineStr"/>
    </row>
    <row r="611">
      <c r="A611" s="13" t="inlineStr">
        <is>
          <t>2026-06-28</t>
        </is>
      </c>
      <c r="B611" s="13" t="inlineStr">
        <is>
          <t>casadocorretormga.com.br</t>
        </is>
      </c>
      <c r="C611" s="13" t="inlineStr">
        <is>
          <t>Casa do Corretor MGA</t>
        </is>
      </c>
      <c r="D611" s="13" t="inlineStr"/>
      <c r="E611" s="13" t="inlineStr">
        <is>
          <t>Casa</t>
        </is>
      </c>
      <c r="F611" s="13" t="inlineStr">
        <is>
          <t>Rua de Ligação Walter Karlos</t>
        </is>
      </c>
      <c r="G611" s="13" t="n">
        <v>80</v>
      </c>
      <c r="H611" s="13" t="inlineStr"/>
      <c r="I611" s="13" t="inlineStr"/>
      <c r="K611" s="13" t="inlineStr"/>
      <c r="L611" s="13" t="n">
        <v>450000</v>
      </c>
      <c r="M611" s="13" t="inlineStr">
        <is>
          <t>Ref: 13820000521 | https://casadocorretormga.com.br/imovel/13820000521/</t>
        </is>
      </c>
      <c r="N611" s="13" t="inlineStr">
        <is>
          <t>Novo</t>
        </is>
      </c>
      <c r="O611" s="13" t="inlineStr"/>
    </row>
    <row r="612">
      <c r="A612" s="13" t="inlineStr">
        <is>
          <t>2026-06-28</t>
        </is>
      </c>
      <c r="B612" s="13" t="inlineStr">
        <is>
          <t>casadocorretormga.com.br</t>
        </is>
      </c>
      <c r="C612" s="13" t="inlineStr">
        <is>
          <t>Casa do Corretor MGA</t>
        </is>
      </c>
      <c r="D612" s="13" t="inlineStr"/>
      <c r="E612" s="13" t="inlineStr">
        <is>
          <t>Casa</t>
        </is>
      </c>
      <c r="F612" s="13" t="inlineStr">
        <is>
          <t>Rua Califórnia</t>
        </is>
      </c>
      <c r="G612" s="13" t="n">
        <v>115</v>
      </c>
      <c r="H612" s="13" t="inlineStr"/>
      <c r="I612" s="13" t="inlineStr"/>
      <c r="K612" s="13" t="inlineStr"/>
      <c r="L612" s="13" t="n">
        <v>460000</v>
      </c>
      <c r="M612" s="13" t="inlineStr">
        <is>
          <t>Ref: 13820000293 | https://casadocorretormga.com.br/imovel/13820000293/</t>
        </is>
      </c>
      <c r="N612" s="13" t="inlineStr">
        <is>
          <t>Novo</t>
        </is>
      </c>
      <c r="O612" s="13" t="inlineStr"/>
    </row>
    <row r="613">
      <c r="A613" s="13" t="inlineStr">
        <is>
          <t>2026-06-28</t>
        </is>
      </c>
      <c r="B613" s="13" t="inlineStr">
        <is>
          <t>casadocorretormga.com.br</t>
        </is>
      </c>
      <c r="C613" s="13" t="inlineStr">
        <is>
          <t>Casa do Corretor MGA</t>
        </is>
      </c>
      <c r="D613" s="13" t="inlineStr"/>
      <c r="E613" s="13" t="inlineStr">
        <is>
          <t>Terreno</t>
        </is>
      </c>
      <c r="F613" s="13" t="inlineStr">
        <is>
          <t>Avenida Morangueira</t>
        </is>
      </c>
      <c r="G613" s="13" t="n">
        <v>1144</v>
      </c>
      <c r="H613" s="13" t="inlineStr"/>
      <c r="I613" s="13" t="inlineStr"/>
      <c r="K613" s="13" t="inlineStr"/>
      <c r="L613" s="13" t="n">
        <v>480000</v>
      </c>
      <c r="M613" s="13" t="inlineStr">
        <is>
          <t>Ref: 13820000420 | https://casadocorretormga.com.br/imovel/13820000420/</t>
        </is>
      </c>
      <c r="N613" s="13" t="inlineStr">
        <is>
          <t>Novo</t>
        </is>
      </c>
      <c r="O613" s="13" t="inlineStr"/>
    </row>
    <row r="614">
      <c r="A614" s="13" t="inlineStr">
        <is>
          <t>2026-06-28</t>
        </is>
      </c>
      <c r="B614" s="13" t="inlineStr">
        <is>
          <t>casadocorretormga.com.br</t>
        </is>
      </c>
      <c r="C614" s="13" t="inlineStr">
        <is>
          <t>Casa do Corretor MGA</t>
        </is>
      </c>
      <c r="D614" s="13" t="inlineStr"/>
      <c r="E614" s="13" t="inlineStr">
        <is>
          <t>Casa</t>
        </is>
      </c>
      <c r="F614" s="13" t="inlineStr">
        <is>
          <t>Rua João Carneiro Filgueiras</t>
        </is>
      </c>
      <c r="G614" s="13" t="n">
        <v>93.2</v>
      </c>
      <c r="H614" s="13" t="inlineStr"/>
      <c r="I614" s="13" t="inlineStr"/>
      <c r="K614" s="13" t="inlineStr"/>
      <c r="L614" s="13" t="n">
        <v>480000</v>
      </c>
      <c r="M614" s="13" t="inlineStr">
        <is>
          <t>Ref: 13820000445 | https://casadocorretormga.com.br/imovel/13820000445/</t>
        </is>
      </c>
      <c r="N614" s="13" t="inlineStr">
        <is>
          <t>Novo</t>
        </is>
      </c>
      <c r="O614" s="13" t="inlineStr"/>
    </row>
    <row r="615">
      <c r="A615" s="13" t="inlineStr">
        <is>
          <t>2026-06-28</t>
        </is>
      </c>
      <c r="B615" s="13" t="inlineStr">
        <is>
          <t>casadocorretormga.com.br</t>
        </is>
      </c>
      <c r="C615" s="13" t="inlineStr">
        <is>
          <t>Casa do Corretor MGA</t>
        </is>
      </c>
      <c r="D615" s="13" t="inlineStr"/>
      <c r="E615" s="13" t="inlineStr">
        <is>
          <t>Casa</t>
        </is>
      </c>
      <c r="F615" s="13" t="inlineStr">
        <is>
          <t>Rua José Granado Parra</t>
        </is>
      </c>
      <c r="G615" s="13" t="n">
        <v>93</v>
      </c>
      <c r="H615" s="13" t="inlineStr"/>
      <c r="I615" s="13" t="inlineStr"/>
      <c r="K615" s="13" t="inlineStr"/>
      <c r="L615" s="13" t="n">
        <v>480000</v>
      </c>
      <c r="M615" s="13" t="inlineStr">
        <is>
          <t>Ref: 13820000489 | https://casadocorretormga.com.br/imovel/13820000489/</t>
        </is>
      </c>
      <c r="N615" s="13" t="inlineStr">
        <is>
          <t>Novo</t>
        </is>
      </c>
      <c r="O615" s="13" t="inlineStr"/>
    </row>
    <row r="616">
      <c r="A616" s="13" t="inlineStr">
        <is>
          <t>2026-06-28</t>
        </is>
      </c>
      <c r="B616" s="13" t="inlineStr">
        <is>
          <t>casadocorretormga.com.br</t>
        </is>
      </c>
      <c r="C616" s="13" t="inlineStr">
        <is>
          <t>Casa do Corretor MGA</t>
        </is>
      </c>
      <c r="D616" s="13" t="inlineStr"/>
      <c r="E616" s="13" t="inlineStr">
        <is>
          <t>Casa</t>
        </is>
      </c>
      <c r="F616" s="13" t="inlineStr">
        <is>
          <t>Rua Pioneiro Rodolfo Pinheiro Lima</t>
        </is>
      </c>
      <c r="G616" s="13" t="n">
        <v>210</v>
      </c>
      <c r="H616" s="13" t="inlineStr"/>
      <c r="I616" s="13" t="inlineStr"/>
      <c r="K616" s="13" t="inlineStr"/>
      <c r="L616" s="13" t="n">
        <v>510000</v>
      </c>
      <c r="M616" s="13" t="inlineStr">
        <is>
          <t>Ref: 13820000503 | https://casadocorretormga.com.br/imovel/13820000503/</t>
        </is>
      </c>
      <c r="N616" s="13" t="inlineStr">
        <is>
          <t>Novo</t>
        </is>
      </c>
      <c r="O616" s="13" t="inlineStr"/>
    </row>
    <row r="617">
      <c r="A617" s="13" t="inlineStr">
        <is>
          <t>2026-06-28</t>
        </is>
      </c>
      <c r="B617" s="13" t="inlineStr">
        <is>
          <t>casadocorretormga.com.br</t>
        </is>
      </c>
      <c r="C617" s="13" t="inlineStr">
        <is>
          <t>Casa do Corretor MGA</t>
        </is>
      </c>
      <c r="D617" s="13" t="inlineStr"/>
      <c r="E617" s="13" t="inlineStr">
        <is>
          <t>Terreno Comercial</t>
        </is>
      </c>
      <c r="F617" s="13" t="inlineStr">
        <is>
          <t>Rua Manoel Frigo</t>
        </is>
      </c>
      <c r="G617" s="13" t="n">
        <v>825</v>
      </c>
      <c r="H617" s="13" t="inlineStr"/>
      <c r="I617" s="13" t="inlineStr"/>
      <c r="K617" s="13" t="inlineStr"/>
      <c r="L617" s="13" t="n">
        <v>550000</v>
      </c>
      <c r="M617" s="13" t="inlineStr">
        <is>
          <t>Ref: 13820000486 | https://casadocorretormga.com.br/imovel/13820000486/</t>
        </is>
      </c>
      <c r="N617" s="13" t="inlineStr">
        <is>
          <t>Novo</t>
        </is>
      </c>
      <c r="O617" s="13" t="inlineStr"/>
    </row>
    <row r="618">
      <c r="A618" s="13" t="inlineStr">
        <is>
          <t>2026-06-28</t>
        </is>
      </c>
      <c r="B618" s="13" t="inlineStr">
        <is>
          <t>casadocorretormga.com.br</t>
        </is>
      </c>
      <c r="C618" s="13" t="inlineStr">
        <is>
          <t>Casa do Corretor MGA</t>
        </is>
      </c>
      <c r="D618" s="13" t="inlineStr"/>
      <c r="E618" s="13" t="inlineStr">
        <is>
          <t>Casa</t>
        </is>
      </c>
      <c r="F618" s="13" t="inlineStr">
        <is>
          <t>Rua Mieko Imai da Silva</t>
        </is>
      </c>
      <c r="G618" s="13" t="n">
        <v>97</v>
      </c>
      <c r="H618" s="13" t="inlineStr"/>
      <c r="I618" s="13" t="inlineStr"/>
      <c r="K618" s="13" t="inlineStr"/>
      <c r="L618" s="13" t="n">
        <v>550000</v>
      </c>
      <c r="M618" s="13" t="inlineStr">
        <is>
          <t>Ref: 13820000497 | https://casadocorretormga.com.br/imovel/13820000497/</t>
        </is>
      </c>
      <c r="N618" s="13" t="inlineStr">
        <is>
          <t>Novo</t>
        </is>
      </c>
      <c r="O618" s="13" t="inlineStr"/>
    </row>
    <row r="619">
      <c r="A619" s="13" t="inlineStr">
        <is>
          <t>2026-06-28</t>
        </is>
      </c>
      <c r="B619" s="13" t="inlineStr">
        <is>
          <t>casadocorretormga.com.br</t>
        </is>
      </c>
      <c r="C619" s="13" t="inlineStr">
        <is>
          <t>Casa do Corretor MGA</t>
        </is>
      </c>
      <c r="D619" s="13" t="inlineStr"/>
      <c r="E619" s="13" t="inlineStr">
        <is>
          <t>Casa</t>
        </is>
      </c>
      <c r="F619" s="13" t="inlineStr">
        <is>
          <t>Rua Allan Kardec</t>
        </is>
      </c>
      <c r="G619" s="13" t="n">
        <v>114</v>
      </c>
      <c r="H619" s="13" t="inlineStr"/>
      <c r="I619" s="13" t="inlineStr"/>
      <c r="K619" s="13" t="inlineStr"/>
      <c r="L619" s="13" t="n">
        <v>550000</v>
      </c>
      <c r="M619" s="13" t="inlineStr">
        <is>
          <t>Ref: 13820000499 | https://casadocorretormga.com.br/imovel/13820000499/</t>
        </is>
      </c>
      <c r="N619" s="13" t="inlineStr">
        <is>
          <t>Novo</t>
        </is>
      </c>
      <c r="O619" s="13" t="inlineStr"/>
    </row>
    <row r="620">
      <c r="A620" s="13" t="inlineStr">
        <is>
          <t>2026-06-28</t>
        </is>
      </c>
      <c r="B620" s="13" t="inlineStr">
        <is>
          <t>casadocorretormga.com.br</t>
        </is>
      </c>
      <c r="C620" s="13" t="inlineStr">
        <is>
          <t>Casa do Corretor MGA</t>
        </is>
      </c>
      <c r="D620" s="13" t="inlineStr"/>
      <c r="E620" s="13" t="inlineStr">
        <is>
          <t>Casa</t>
        </is>
      </c>
      <c r="F620" s="13" t="inlineStr">
        <is>
          <t>Rua Berilo</t>
        </is>
      </c>
      <c r="G620" s="13" t="n">
        <v>99.11</v>
      </c>
      <c r="H620" s="13" t="inlineStr"/>
      <c r="I620" s="13" t="inlineStr"/>
      <c r="K620" s="13" t="inlineStr"/>
      <c r="L620" s="13" t="n">
        <v>550000</v>
      </c>
      <c r="M620" s="13" t="inlineStr">
        <is>
          <t>Ref: 13820000507 | https://casadocorretormga.com.br/imovel/13820000507/</t>
        </is>
      </c>
      <c r="N620" s="13" t="inlineStr">
        <is>
          <t>Novo</t>
        </is>
      </c>
      <c r="O620" s="13" t="inlineStr"/>
    </row>
    <row r="621">
      <c r="A621" s="13" t="inlineStr">
        <is>
          <t>2026-06-28</t>
        </is>
      </c>
      <c r="B621" s="13" t="inlineStr">
        <is>
          <t>casadocorretormga.com.br</t>
        </is>
      </c>
      <c r="C621" s="13" t="inlineStr">
        <is>
          <t>Casa do Corretor MGA</t>
        </is>
      </c>
      <c r="D621" s="13" t="inlineStr"/>
      <c r="E621" s="13" t="inlineStr">
        <is>
          <t>Casa</t>
        </is>
      </c>
      <c r="F621" s="13" t="inlineStr">
        <is>
          <t>Rua Eufrásia Carmona Bustos</t>
        </is>
      </c>
      <c r="G621" s="13" t="n">
        <v>99.68000000000001</v>
      </c>
      <c r="H621" s="13" t="inlineStr"/>
      <c r="I621" s="13" t="inlineStr"/>
      <c r="K621" s="13" t="inlineStr"/>
      <c r="L621" s="13" t="n">
        <v>550000</v>
      </c>
      <c r="M621" s="13" t="inlineStr">
        <is>
          <t>Ref: 13820000522 | https://casadocorretormga.com.br/imovel/13820000522/</t>
        </is>
      </c>
      <c r="N621" s="13" t="inlineStr">
        <is>
          <t>Novo</t>
        </is>
      </c>
      <c r="O621" s="13" t="inlineStr"/>
    </row>
    <row r="622">
      <c r="A622" s="13" t="inlineStr">
        <is>
          <t>2026-06-28</t>
        </is>
      </c>
      <c r="B622" s="13" t="inlineStr">
        <is>
          <t>casadocorretormga.com.br</t>
        </is>
      </c>
      <c r="C622" s="13" t="inlineStr">
        <is>
          <t>Casa do Corretor MGA</t>
        </is>
      </c>
      <c r="D622" s="13" t="inlineStr"/>
      <c r="E622" s="13" t="inlineStr">
        <is>
          <t>Casa</t>
        </is>
      </c>
      <c r="F622" s="13" t="inlineStr">
        <is>
          <t>Rua Pioneira Luíza Davoglio</t>
        </is>
      </c>
      <c r="G622" s="13" t="n">
        <v>104.94</v>
      </c>
      <c r="H622" s="13" t="inlineStr"/>
      <c r="I622" s="13" t="inlineStr"/>
      <c r="K622" s="13" t="inlineStr"/>
      <c r="L622" s="13" t="n">
        <v>590000</v>
      </c>
      <c r="M622" s="13" t="inlineStr">
        <is>
          <t>Ref: 13820000511 | https://casadocorretormga.com.br/imovel/13820000511/</t>
        </is>
      </c>
      <c r="N622" s="13" t="inlineStr">
        <is>
          <t>Novo</t>
        </is>
      </c>
      <c r="O622" s="13" t="inlineStr"/>
    </row>
    <row r="623">
      <c r="A623" s="13" t="inlineStr">
        <is>
          <t>2026-06-28</t>
        </is>
      </c>
      <c r="B623" s="13" t="inlineStr">
        <is>
          <t>casadocorretormga.com.br</t>
        </is>
      </c>
      <c r="C623" s="13" t="inlineStr">
        <is>
          <t>Casa do Corretor MGA</t>
        </is>
      </c>
      <c r="D623" s="13" t="inlineStr"/>
      <c r="E623" s="13" t="inlineStr">
        <is>
          <t>Casa</t>
        </is>
      </c>
      <c r="F623" s="13" t="inlineStr">
        <is>
          <t>Rua Bombeiro Paulo Antônio Galeti</t>
        </is>
      </c>
      <c r="G623" s="13" t="n">
        <v>105</v>
      </c>
      <c r="H623" s="13" t="inlineStr"/>
      <c r="I623" s="13" t="inlineStr"/>
      <c r="K623" s="13" t="inlineStr"/>
      <c r="L623" s="13" t="n">
        <v>600000</v>
      </c>
      <c r="M623" s="13" t="inlineStr">
        <is>
          <t>Ref: 13820000485 | https://casadocorretormga.com.br/imovel/13820000485/</t>
        </is>
      </c>
      <c r="N623" s="13" t="inlineStr">
        <is>
          <t>Novo</t>
        </is>
      </c>
      <c r="O623" s="13" t="inlineStr"/>
    </row>
    <row r="624">
      <c r="A624" s="13" t="inlineStr">
        <is>
          <t>2026-06-28</t>
        </is>
      </c>
      <c r="B624" s="13" t="inlineStr">
        <is>
          <t>casadocorretormga.com.br</t>
        </is>
      </c>
      <c r="C624" s="13" t="inlineStr">
        <is>
          <t>Casa do Corretor MGA</t>
        </is>
      </c>
      <c r="D624" s="13" t="inlineStr"/>
      <c r="E624" s="13" t="inlineStr">
        <is>
          <t>Sobrado</t>
        </is>
      </c>
      <c r="F624" s="13" t="inlineStr">
        <is>
          <t>Rua Rio Barreiro</t>
        </is>
      </c>
      <c r="G624" s="13" t="inlineStr"/>
      <c r="H624" s="13" t="inlineStr"/>
      <c r="I624" s="13" t="inlineStr"/>
      <c r="K624" s="13" t="inlineStr"/>
      <c r="L624" s="13" t="n">
        <v>630000</v>
      </c>
      <c r="M624" s="13" t="inlineStr">
        <is>
          <t>Ref: 13820000290 | https://casadocorretormga.com.br/imovel/13820000290/</t>
        </is>
      </c>
      <c r="N624" s="13" t="inlineStr">
        <is>
          <t>Novo</t>
        </is>
      </c>
      <c r="O624" s="13" t="inlineStr"/>
    </row>
    <row r="625">
      <c r="A625" s="13" t="inlineStr">
        <is>
          <t>2026-06-28</t>
        </is>
      </c>
      <c r="B625" s="13" t="inlineStr">
        <is>
          <t>casadocorretormga.com.br</t>
        </is>
      </c>
      <c r="C625" s="13" t="inlineStr">
        <is>
          <t>Casa do Corretor MGA</t>
        </is>
      </c>
      <c r="D625" s="13" t="inlineStr"/>
      <c r="E625" s="13" t="inlineStr">
        <is>
          <t>Casa</t>
        </is>
      </c>
      <c r="F625" s="13" t="inlineStr">
        <is>
          <t>Rua Pioneiro Aníbal Borin</t>
        </is>
      </c>
      <c r="G625" s="13" t="n">
        <v>107</v>
      </c>
      <c r="H625" s="13" t="inlineStr"/>
      <c r="I625" s="13" t="inlineStr"/>
      <c r="K625" s="13" t="inlineStr"/>
      <c r="L625" s="13" t="n">
        <v>649000</v>
      </c>
      <c r="M625" s="13" t="inlineStr">
        <is>
          <t>Ref: 13820000418 | https://casadocorretormga.com.br/imovel/13820000418/</t>
        </is>
      </c>
      <c r="N625" s="13" t="inlineStr">
        <is>
          <t>Novo</t>
        </is>
      </c>
      <c r="O625" s="13" t="inlineStr"/>
    </row>
    <row r="626">
      <c r="A626" s="13" t="inlineStr">
        <is>
          <t>2026-06-28</t>
        </is>
      </c>
      <c r="B626" s="13" t="inlineStr">
        <is>
          <t>casadocorretormga.com.br</t>
        </is>
      </c>
      <c r="C626" s="13" t="inlineStr">
        <is>
          <t>Casa do Corretor MGA</t>
        </is>
      </c>
      <c r="D626" s="13" t="inlineStr"/>
      <c r="E626" s="13" t="inlineStr">
        <is>
          <t>Apartamento</t>
        </is>
      </c>
      <c r="F626" s="13" t="inlineStr">
        <is>
          <t>Rua Moscados</t>
        </is>
      </c>
      <c r="G626" s="13" t="n">
        <v>79.5</v>
      </c>
      <c r="H626" s="13" t="inlineStr"/>
      <c r="I626" s="13" t="inlineStr"/>
      <c r="K626" s="13" t="inlineStr"/>
      <c r="L626" s="13" t="n">
        <v>700000</v>
      </c>
      <c r="M626" s="13" t="inlineStr">
        <is>
          <t>Ref: 13820000406 | https://casadocorretormga.com.br/imovel/13820000406/</t>
        </is>
      </c>
      <c r="N626" s="13" t="inlineStr">
        <is>
          <t>Novo</t>
        </is>
      </c>
      <c r="O626" s="13" t="inlineStr"/>
    </row>
    <row r="627">
      <c r="A627" s="13" t="inlineStr">
        <is>
          <t>2026-06-28</t>
        </is>
      </c>
      <c r="B627" s="13" t="inlineStr">
        <is>
          <t>casadocorretormga.com.br</t>
        </is>
      </c>
      <c r="C627" s="13" t="inlineStr">
        <is>
          <t>Casa do Corretor MGA</t>
        </is>
      </c>
      <c r="D627" s="13" t="inlineStr"/>
      <c r="E627" s="13" t="inlineStr">
        <is>
          <t>Casa</t>
        </is>
      </c>
      <c r="F627" s="13" t="inlineStr">
        <is>
          <t>Rua Domingos Santa Cruz</t>
        </is>
      </c>
      <c r="G627" s="13" t="n">
        <v>127</v>
      </c>
      <c r="H627" s="13" t="inlineStr"/>
      <c r="I627" s="13" t="inlineStr"/>
      <c r="K627" s="13" t="inlineStr"/>
      <c r="L627" s="13" t="n">
        <v>710000</v>
      </c>
      <c r="M627" s="13" t="inlineStr">
        <is>
          <t>Ref: 13820000292 | https://casadocorretormga.com.br/imovel/13820000292/</t>
        </is>
      </c>
      <c r="N627" s="13" t="inlineStr">
        <is>
          <t>Novo</t>
        </is>
      </c>
      <c r="O627" s="13" t="inlineStr"/>
    </row>
    <row r="628">
      <c r="A628" s="13" t="inlineStr">
        <is>
          <t>2026-06-28</t>
        </is>
      </c>
      <c r="B628" s="13" t="inlineStr">
        <is>
          <t>casadocorretormga.com.br</t>
        </is>
      </c>
      <c r="C628" s="13" t="inlineStr">
        <is>
          <t>Casa do Corretor MGA</t>
        </is>
      </c>
      <c r="D628" s="13" t="inlineStr"/>
      <c r="E628" s="13" t="inlineStr">
        <is>
          <t>Apartamento</t>
        </is>
      </c>
      <c r="F628" s="13" t="inlineStr">
        <is>
          <t>Rua Distrito Federal</t>
        </is>
      </c>
      <c r="G628" s="13" t="n">
        <v>79</v>
      </c>
      <c r="H628" s="13" t="inlineStr"/>
      <c r="I628" s="13" t="inlineStr"/>
      <c r="K628" s="13" t="inlineStr"/>
      <c r="L628" s="13" t="n">
        <v>750000</v>
      </c>
      <c r="M628" s="13" t="inlineStr">
        <is>
          <t>Ref: 13820000360 | https://casadocorretormga.com.br/imovel/13820000360/</t>
        </is>
      </c>
      <c r="N628" s="13" t="inlineStr">
        <is>
          <t>Novo</t>
        </is>
      </c>
      <c r="O628" s="13" t="inlineStr"/>
    </row>
    <row r="629">
      <c r="A629" s="13" t="inlineStr">
        <is>
          <t>2026-06-28</t>
        </is>
      </c>
      <c r="B629" s="13" t="inlineStr">
        <is>
          <t>casadocorretormga.com.br</t>
        </is>
      </c>
      <c r="C629" s="13" t="inlineStr">
        <is>
          <t>Casa do Corretor MGA</t>
        </is>
      </c>
      <c r="D629" s="13" t="inlineStr"/>
      <c r="E629" s="13" t="inlineStr">
        <is>
          <t>Casa</t>
        </is>
      </c>
      <c r="F629" s="13" t="inlineStr">
        <is>
          <t>Rua Pastor Anísio Francisco da Silva</t>
        </is>
      </c>
      <c r="G629" s="13" t="n">
        <v>146</v>
      </c>
      <c r="H629" s="13" t="inlineStr"/>
      <c r="I629" s="13" t="inlineStr"/>
      <c r="K629" s="13" t="inlineStr"/>
      <c r="L629" s="13" t="n">
        <v>750000</v>
      </c>
      <c r="M629" s="13" t="inlineStr">
        <is>
          <t>Ref: 13820000430 | https://casadocorretormga.com.br/imovel/13820000430/</t>
        </is>
      </c>
      <c r="N629" s="13" t="inlineStr">
        <is>
          <t>Novo</t>
        </is>
      </c>
      <c r="O629" s="13" t="inlineStr"/>
    </row>
    <row r="630">
      <c r="A630" s="13" t="inlineStr">
        <is>
          <t>2026-06-28</t>
        </is>
      </c>
      <c r="B630" s="13" t="inlineStr">
        <is>
          <t>casadocorretormga.com.br</t>
        </is>
      </c>
      <c r="C630" s="13" t="inlineStr">
        <is>
          <t>Casa do Corretor MGA</t>
        </is>
      </c>
      <c r="D630" s="13" t="inlineStr"/>
      <c r="E630" s="13" t="inlineStr">
        <is>
          <t>Casa</t>
        </is>
      </c>
      <c r="F630" s="13" t="inlineStr">
        <is>
          <t>Rua Gisele Gomes de Castro</t>
        </is>
      </c>
      <c r="G630" s="13" t="inlineStr"/>
      <c r="H630" s="13" t="inlineStr"/>
      <c r="I630" s="13" t="inlineStr"/>
      <c r="K630" s="13" t="inlineStr"/>
      <c r="L630" s="13" t="n">
        <v>800000</v>
      </c>
      <c r="M630" s="13" t="inlineStr">
        <is>
          <t>Ref: 13820000440 | https://casadocorretormga.com.br/imovel/13820000440/</t>
        </is>
      </c>
      <c r="N630" s="13" t="inlineStr">
        <is>
          <t>Novo</t>
        </is>
      </c>
      <c r="O630" s="13" t="inlineStr"/>
    </row>
    <row r="631">
      <c r="A631" s="13" t="inlineStr">
        <is>
          <t>2026-06-28</t>
        </is>
      </c>
      <c r="B631" s="13" t="inlineStr">
        <is>
          <t>casadocorretormga.com.br</t>
        </is>
      </c>
      <c r="C631" s="13" t="inlineStr">
        <is>
          <t>Casa do Corretor MGA</t>
        </is>
      </c>
      <c r="D631" s="13" t="inlineStr"/>
      <c r="E631" s="13" t="inlineStr">
        <is>
          <t>Casa</t>
        </is>
      </c>
      <c r="F631" s="13" t="inlineStr">
        <is>
          <t>Rua Xanadu</t>
        </is>
      </c>
      <c r="G631" s="13" t="n">
        <v>173</v>
      </c>
      <c r="H631" s="13" t="inlineStr"/>
      <c r="I631" s="13" t="inlineStr"/>
      <c r="K631" s="13" t="inlineStr"/>
      <c r="L631" s="13" t="n">
        <v>800000</v>
      </c>
      <c r="M631" s="13" t="inlineStr">
        <is>
          <t>Ref: 13820000519 | https://casadocorretormga.com.br/imovel/13820000519/</t>
        </is>
      </c>
      <c r="N631" s="13" t="inlineStr">
        <is>
          <t>Novo</t>
        </is>
      </c>
      <c r="O631" s="13" t="inlineStr"/>
    </row>
    <row r="632">
      <c r="A632" s="13" t="inlineStr">
        <is>
          <t>2026-06-28</t>
        </is>
      </c>
      <c r="B632" s="13" t="inlineStr">
        <is>
          <t>casadocorretormga.com.br</t>
        </is>
      </c>
      <c r="C632" s="13" t="inlineStr">
        <is>
          <t>Casa do Corretor MGA</t>
        </is>
      </c>
      <c r="D632" s="13" t="inlineStr"/>
      <c r="E632" s="13" t="inlineStr">
        <is>
          <t>Casa</t>
        </is>
      </c>
      <c r="F632" s="13" t="inlineStr">
        <is>
          <t>Rua Pioneiro Richard Derner</t>
        </is>
      </c>
      <c r="G632" s="13" t="n">
        <v>180</v>
      </c>
      <c r="H632" s="13" t="inlineStr"/>
      <c r="I632" s="13" t="inlineStr"/>
      <c r="K632" s="13" t="inlineStr"/>
      <c r="L632" s="13" t="n">
        <v>820000</v>
      </c>
      <c r="M632" s="13" t="inlineStr">
        <is>
          <t>Ref: 13820000280 | https://casadocorretormga.com.br/imovel/13820000280/</t>
        </is>
      </c>
      <c r="N632" s="13" t="inlineStr">
        <is>
          <t>Novo</t>
        </is>
      </c>
      <c r="O632" s="13" t="inlineStr"/>
    </row>
    <row r="633">
      <c r="A633" s="13" t="inlineStr">
        <is>
          <t>2026-06-28</t>
        </is>
      </c>
      <c r="B633" s="13" t="inlineStr">
        <is>
          <t>casadocorretormga.com.br</t>
        </is>
      </c>
      <c r="C633" s="13" t="inlineStr">
        <is>
          <t>Casa do Corretor MGA</t>
        </is>
      </c>
      <c r="D633" s="13" t="inlineStr"/>
      <c r="E633" s="13" t="inlineStr">
        <is>
          <t>Sobrado</t>
        </is>
      </c>
      <c r="F633" s="13" t="inlineStr">
        <is>
          <t>Rua Pioneira Vergínia Maria Fecchio</t>
        </is>
      </c>
      <c r="G633" s="13" t="inlineStr"/>
      <c r="H633" s="13" t="inlineStr"/>
      <c r="I633" s="13" t="inlineStr"/>
      <c r="K633" s="13" t="inlineStr"/>
      <c r="L633" s="13" t="n">
        <v>849000</v>
      </c>
      <c r="M633" s="13" t="inlineStr">
        <is>
          <t>Ref: 13820000315 | https://casadocorretormga.com.br/imovel/13820000315/</t>
        </is>
      </c>
      <c r="N633" s="13" t="inlineStr">
        <is>
          <t>Novo</t>
        </is>
      </c>
      <c r="O633" s="13" t="inlineStr"/>
    </row>
    <row r="634">
      <c r="A634" s="13" t="inlineStr">
        <is>
          <t>2026-06-28</t>
        </is>
      </c>
      <c r="B634" s="13" t="inlineStr">
        <is>
          <t>casadocorretormga.com.br</t>
        </is>
      </c>
      <c r="C634" s="13" t="inlineStr">
        <is>
          <t>Casa do Corretor MGA</t>
        </is>
      </c>
      <c r="D634" s="13" t="inlineStr"/>
      <c r="E634" s="13" t="inlineStr">
        <is>
          <t>Sobrado</t>
        </is>
      </c>
      <c r="F634" s="13" t="inlineStr">
        <is>
          <t>Rua Pioneira Genoveva Giunta</t>
        </is>
      </c>
      <c r="G634" s="13" t="n">
        <v>250</v>
      </c>
      <c r="H634" s="13" t="inlineStr"/>
      <c r="I634" s="13" t="inlineStr"/>
      <c r="K634" s="13" t="inlineStr"/>
      <c r="L634" s="13" t="n">
        <v>850000</v>
      </c>
      <c r="M634" s="13" t="inlineStr">
        <is>
          <t>Ref: 13820000372 | https://casadocorretormga.com.br/imovel/13820000372/</t>
        </is>
      </c>
      <c r="N634" s="13" t="inlineStr">
        <is>
          <t>Novo</t>
        </is>
      </c>
      <c r="O634" s="13" t="inlineStr"/>
    </row>
    <row r="635">
      <c r="A635" s="13" t="inlineStr">
        <is>
          <t>2026-06-28</t>
        </is>
      </c>
      <c r="B635" s="13" t="inlineStr">
        <is>
          <t>casadocorretormga.com.br</t>
        </is>
      </c>
      <c r="C635" s="13" t="inlineStr">
        <is>
          <t>Casa do Corretor MGA</t>
        </is>
      </c>
      <c r="D635" s="13" t="inlineStr"/>
      <c r="E635" s="13" t="inlineStr">
        <is>
          <t>Casa</t>
        </is>
      </c>
      <c r="F635" s="13" t="inlineStr">
        <is>
          <t>Rua Vereador José Mário Hauari</t>
        </is>
      </c>
      <c r="G635" s="13" t="n">
        <v>170</v>
      </c>
      <c r="H635" s="13" t="inlineStr"/>
      <c r="I635" s="13" t="inlineStr"/>
      <c r="K635" s="13" t="inlineStr"/>
      <c r="L635" s="13" t="n">
        <v>850000</v>
      </c>
      <c r="M635" s="13" t="inlineStr">
        <is>
          <t>Ref: 13820000501 | https://casadocorretormga.com.br/imovel/13820000501/</t>
        </is>
      </c>
      <c r="N635" s="13" t="inlineStr">
        <is>
          <t>Novo</t>
        </is>
      </c>
      <c r="O635" s="13" t="inlineStr"/>
    </row>
    <row r="636">
      <c r="A636" s="13" t="inlineStr">
        <is>
          <t>2026-06-28</t>
        </is>
      </c>
      <c r="B636" s="13" t="inlineStr">
        <is>
          <t>casadocorretormga.com.br</t>
        </is>
      </c>
      <c r="C636" s="13" t="inlineStr">
        <is>
          <t>Casa do Corretor MGA</t>
        </is>
      </c>
      <c r="D636" s="13" t="inlineStr"/>
      <c r="E636" s="13" t="inlineStr">
        <is>
          <t>Casa</t>
        </is>
      </c>
      <c r="F636" s="13" t="inlineStr">
        <is>
          <t>Rua Izabel Fernandes Cano</t>
        </is>
      </c>
      <c r="G636" s="13" t="n">
        <v>145</v>
      </c>
      <c r="H636" s="13" t="inlineStr"/>
      <c r="I636" s="13" t="inlineStr"/>
      <c r="K636" s="13" t="inlineStr"/>
      <c r="L636" s="13" t="n">
        <v>890000</v>
      </c>
      <c r="M636" s="13" t="inlineStr">
        <is>
          <t>Ref: 13820000438 | https://casadocorretormga.com.br/imovel/13820000438/</t>
        </is>
      </c>
      <c r="N636" s="13" t="inlineStr">
        <is>
          <t>Novo</t>
        </is>
      </c>
      <c r="O636" s="13" t="inlineStr"/>
    </row>
    <row r="637">
      <c r="A637" s="13" t="inlineStr">
        <is>
          <t>2026-06-28</t>
        </is>
      </c>
      <c r="B637" s="13" t="inlineStr">
        <is>
          <t>casadocorretormga.com.br</t>
        </is>
      </c>
      <c r="C637" s="13" t="inlineStr">
        <is>
          <t>Casa do Corretor MGA</t>
        </is>
      </c>
      <c r="D637" s="13" t="inlineStr"/>
      <c r="E637" s="13" t="inlineStr">
        <is>
          <t>Casa</t>
        </is>
      </c>
      <c r="F637" s="13" t="inlineStr">
        <is>
          <t>Rua Lazurita</t>
        </is>
      </c>
      <c r="G637" s="13" t="n">
        <v>121</v>
      </c>
      <c r="H637" s="13" t="inlineStr"/>
      <c r="I637" s="13" t="inlineStr"/>
      <c r="K637" s="13" t="inlineStr"/>
      <c r="L637" s="13" t="n">
        <v>895000</v>
      </c>
      <c r="M637" s="13" t="inlineStr">
        <is>
          <t>Ref: 13820000475 | https://casadocorretormga.com.br/imovel/13820000475/</t>
        </is>
      </c>
      <c r="N637" s="13" t="inlineStr">
        <is>
          <t>Novo</t>
        </is>
      </c>
      <c r="O637" s="13" t="inlineStr"/>
    </row>
    <row r="638">
      <c r="A638" s="13" t="inlineStr">
        <is>
          <t>2026-06-28</t>
        </is>
      </c>
      <c r="B638" s="13" t="inlineStr">
        <is>
          <t>casadocorretormga.com.br</t>
        </is>
      </c>
      <c r="C638" s="13" t="inlineStr">
        <is>
          <t>Casa do Corretor MGA</t>
        </is>
      </c>
      <c r="D638" s="13" t="inlineStr"/>
      <c r="E638" s="13" t="inlineStr">
        <is>
          <t>Sobrado</t>
        </is>
      </c>
      <c r="F638" s="13" t="inlineStr">
        <is>
          <t>Rua Pioneiro José Poppi</t>
        </is>
      </c>
      <c r="G638" s="13" t="n">
        <v>177</v>
      </c>
      <c r="H638" s="13" t="inlineStr"/>
      <c r="I638" s="13" t="inlineStr"/>
      <c r="K638" s="13" t="inlineStr"/>
      <c r="L638" s="13" t="n">
        <v>980000</v>
      </c>
      <c r="M638" s="13" t="inlineStr">
        <is>
          <t>Ref: 13820000518 | https://casadocorretormga.com.br/imovel/13820000518/</t>
        </is>
      </c>
      <c r="N638" s="13" t="inlineStr">
        <is>
          <t>Novo</t>
        </is>
      </c>
      <c r="O638" s="13" t="inlineStr"/>
    </row>
    <row r="639">
      <c r="A639" s="13" t="inlineStr">
        <is>
          <t>2026-06-28</t>
        </is>
      </c>
      <c r="B639" s="13" t="inlineStr">
        <is>
          <t>casadocorretormga.com.br</t>
        </is>
      </c>
      <c r="C639" s="13" t="inlineStr">
        <is>
          <t>Casa do Corretor MGA</t>
        </is>
      </c>
      <c r="D639" s="13" t="inlineStr"/>
      <c r="E639" s="13" t="inlineStr">
        <is>
          <t>Casa</t>
        </is>
      </c>
      <c r="F639" s="13" t="inlineStr">
        <is>
          <t>Rua Pioneiro Fortunato Pires de</t>
        </is>
      </c>
      <c r="G639" s="13" t="n">
        <v>175.12</v>
      </c>
      <c r="H639" s="13" t="inlineStr"/>
      <c r="I639" s="13" t="inlineStr"/>
      <c r="K639" s="13" t="inlineStr"/>
      <c r="L639" s="13" t="n">
        <v>1050000</v>
      </c>
      <c r="M639" s="13" t="inlineStr">
        <is>
          <t>Ref: 13820000429 | https://casadocorretormga.com.br/imovel/13820000429/</t>
        </is>
      </c>
      <c r="N639" s="13" t="inlineStr">
        <is>
          <t>Novo</t>
        </is>
      </c>
      <c r="O639" s="13" t="inlineStr"/>
    </row>
    <row r="640">
      <c r="A640" s="13" t="inlineStr">
        <is>
          <t>2026-06-28</t>
        </is>
      </c>
      <c r="B640" s="13" t="inlineStr">
        <is>
          <t>casadocorretormga.com.br</t>
        </is>
      </c>
      <c r="C640" s="13" t="inlineStr">
        <is>
          <t>Casa do Corretor MGA</t>
        </is>
      </c>
      <c r="D640" s="13" t="inlineStr"/>
      <c r="E640" s="13" t="inlineStr">
        <is>
          <t>Casa</t>
        </is>
      </c>
      <c r="F640" s="13" t="inlineStr">
        <is>
          <t>Rua Limeira</t>
        </is>
      </c>
      <c r="G640" s="13" t="n">
        <v>155</v>
      </c>
      <c r="H640" s="13" t="inlineStr"/>
      <c r="I640" s="13" t="inlineStr"/>
      <c r="K640" s="13" t="inlineStr"/>
      <c r="L640" s="13" t="n">
        <v>1100000</v>
      </c>
      <c r="M640" s="13" t="inlineStr">
        <is>
          <t>Ref: 13820000309 | https://casadocorretormga.com.br/imovel/13820000309/</t>
        </is>
      </c>
      <c r="N640" s="13" t="inlineStr">
        <is>
          <t>Novo</t>
        </is>
      </c>
      <c r="O640" s="13" t="inlineStr"/>
    </row>
    <row r="641">
      <c r="A641" s="13" t="inlineStr">
        <is>
          <t>2026-06-28</t>
        </is>
      </c>
      <c r="B641" s="13" t="inlineStr">
        <is>
          <t>casadocorretormga.com.br</t>
        </is>
      </c>
      <c r="C641" s="13" t="inlineStr">
        <is>
          <t>Casa do Corretor MGA</t>
        </is>
      </c>
      <c r="D641" s="13" t="inlineStr"/>
      <c r="E641" s="13" t="inlineStr">
        <is>
          <t>Casa</t>
        </is>
      </c>
      <c r="F641" s="13" t="inlineStr">
        <is>
          <t>Rua Hawai</t>
        </is>
      </c>
      <c r="G641" s="13" t="n">
        <v>240</v>
      </c>
      <c r="H641" s="13" t="inlineStr"/>
      <c r="I641" s="13" t="inlineStr"/>
      <c r="K641" s="13" t="inlineStr"/>
      <c r="L641" s="13" t="n">
        <v>1100000</v>
      </c>
      <c r="M641" s="13" t="inlineStr">
        <is>
          <t>Ref: 13820000403 | https://casadocorretormga.com.br/imovel/13820000403/</t>
        </is>
      </c>
      <c r="N641" s="13" t="inlineStr">
        <is>
          <t>Novo</t>
        </is>
      </c>
      <c r="O641" s="13" t="inlineStr"/>
    </row>
    <row r="642">
      <c r="A642" s="13" t="inlineStr">
        <is>
          <t>2026-06-28</t>
        </is>
      </c>
      <c r="B642" s="13" t="inlineStr">
        <is>
          <t>casadocorretormga.com.br</t>
        </is>
      </c>
      <c r="C642" s="13" t="inlineStr">
        <is>
          <t>Casa do Corretor MGA</t>
        </is>
      </c>
      <c r="D642" s="13" t="inlineStr"/>
      <c r="E642" s="13" t="inlineStr">
        <is>
          <t>Casa</t>
        </is>
      </c>
      <c r="F642" s="13" t="inlineStr">
        <is>
          <t>Rua Tupanssi</t>
        </is>
      </c>
      <c r="G642" s="13" t="n">
        <v>165</v>
      </c>
      <c r="H642" s="13" t="inlineStr"/>
      <c r="I642" s="13" t="inlineStr"/>
      <c r="K642" s="13" t="inlineStr"/>
      <c r="L642" s="13" t="n">
        <v>1150000</v>
      </c>
      <c r="M642" s="13" t="inlineStr">
        <is>
          <t>Ref: 13820000517 | https://casadocorretormga.com.br/imovel/13820000517/</t>
        </is>
      </c>
      <c r="N642" s="13" t="inlineStr">
        <is>
          <t>Novo</t>
        </is>
      </c>
      <c r="O642" s="13" t="inlineStr"/>
    </row>
    <row r="643">
      <c r="A643" s="13" t="inlineStr">
        <is>
          <t>2026-06-28</t>
        </is>
      </c>
      <c r="B643" s="13" t="inlineStr">
        <is>
          <t>casadocorretormga.com.br</t>
        </is>
      </c>
      <c r="C643" s="13" t="inlineStr">
        <is>
          <t>Casa do Corretor MGA</t>
        </is>
      </c>
      <c r="D643" s="13" t="inlineStr"/>
      <c r="E643" s="13" t="inlineStr">
        <is>
          <t>Casa</t>
        </is>
      </c>
      <c r="F643" s="13" t="inlineStr">
        <is>
          <t>Rua Octávio Marchi</t>
        </is>
      </c>
      <c r="G643" s="13" t="n">
        <v>170</v>
      </c>
      <c r="H643" s="13" t="inlineStr"/>
      <c r="I643" s="13" t="inlineStr"/>
      <c r="K643" s="13" t="inlineStr"/>
      <c r="L643" s="13" t="n">
        <v>1300000</v>
      </c>
      <c r="M643" s="13" t="inlineStr">
        <is>
          <t>Ref: 13820000352 | https://casadocorretormga.com.br/imovel/13820000352/</t>
        </is>
      </c>
      <c r="N643" s="13" t="inlineStr">
        <is>
          <t>Novo</t>
        </is>
      </c>
      <c r="O643" s="13" t="inlineStr"/>
    </row>
    <row r="644">
      <c r="A644" s="13" t="inlineStr">
        <is>
          <t>2026-06-28</t>
        </is>
      </c>
      <c r="B644" s="13" t="inlineStr">
        <is>
          <t>casadocorretormga.com.br</t>
        </is>
      </c>
      <c r="C644" s="13" t="inlineStr">
        <is>
          <t>Casa do Corretor MGA</t>
        </is>
      </c>
      <c r="D644" s="13" t="inlineStr"/>
      <c r="E644" s="13" t="inlineStr">
        <is>
          <t>Sítios</t>
        </is>
      </c>
      <c r="F644" s="13" t="inlineStr">
        <is>
          <t>Estrada da Usina</t>
        </is>
      </c>
      <c r="G644" s="13" t="inlineStr"/>
      <c r="H644" s="13" t="inlineStr"/>
      <c r="I644" s="13" t="inlineStr"/>
      <c r="K644" s="13" t="inlineStr"/>
      <c r="L644" s="13" t="n">
        <v>1300000</v>
      </c>
      <c r="M644" s="13" t="inlineStr">
        <is>
          <t>Ref: 13820000399 | https://casadocorretormga.com.br/imovel/13820000399/</t>
        </is>
      </c>
      <c r="N644" s="13" t="inlineStr">
        <is>
          <t>Novo</t>
        </is>
      </c>
      <c r="O644" s="13" t="inlineStr"/>
    </row>
    <row r="645">
      <c r="A645" s="13" t="inlineStr">
        <is>
          <t>2026-06-28</t>
        </is>
      </c>
      <c r="B645" s="13" t="inlineStr">
        <is>
          <t>casadocorretormga.com.br</t>
        </is>
      </c>
      <c r="C645" s="13" t="inlineStr">
        <is>
          <t>Casa do Corretor MGA</t>
        </is>
      </c>
      <c r="D645" s="13" t="inlineStr"/>
      <c r="E645" s="13" t="inlineStr">
        <is>
          <t>Casa</t>
        </is>
      </c>
      <c r="F645" s="13" t="inlineStr">
        <is>
          <t>Rua Pioneiro Diogo Martins Esteves</t>
        </is>
      </c>
      <c r="G645" s="13" t="n">
        <v>182.5</v>
      </c>
      <c r="H645" s="13" t="inlineStr"/>
      <c r="I645" s="13" t="inlineStr"/>
      <c r="K645" s="13" t="inlineStr"/>
      <c r="L645" s="13" t="n">
        <v>1395000</v>
      </c>
      <c r="M645" s="13" t="inlineStr">
        <is>
          <t>Ref: 13820000493 | https://casadocorretormga.com.br/imovel/13820000493/</t>
        </is>
      </c>
      <c r="N645" s="13" t="inlineStr">
        <is>
          <t>Novo</t>
        </is>
      </c>
      <c r="O645" s="13" t="inlineStr"/>
    </row>
    <row r="646">
      <c r="A646" s="13" t="inlineStr">
        <is>
          <t>2026-06-28</t>
        </is>
      </c>
      <c r="B646" s="13" t="inlineStr">
        <is>
          <t>casadocorretormga.com.br</t>
        </is>
      </c>
      <c r="C646" s="13" t="inlineStr">
        <is>
          <t>Casa do Corretor MGA</t>
        </is>
      </c>
      <c r="D646" s="13" t="inlineStr"/>
      <c r="E646" s="13" t="inlineStr">
        <is>
          <t>Casa em Condomínio</t>
        </is>
      </c>
      <c r="F646" s="13" t="inlineStr">
        <is>
          <t>Rua Minas Gerais</t>
        </is>
      </c>
      <c r="G646" s="13" t="n">
        <v>337.13</v>
      </c>
      <c r="H646" s="13" t="inlineStr"/>
      <c r="I646" s="13" t="inlineStr"/>
      <c r="K646" s="13" t="inlineStr"/>
      <c r="L646" s="13" t="n">
        <v>2190000</v>
      </c>
      <c r="M646" s="13" t="inlineStr">
        <is>
          <t>Ref: 13820000494 | https://casadocorretormga.com.br/imovel/13820000494/</t>
        </is>
      </c>
      <c r="N646" s="13" t="inlineStr">
        <is>
          <t>Novo</t>
        </is>
      </c>
      <c r="O646" s="13" t="inlineStr"/>
    </row>
    <row r="647">
      <c r="A647" s="13" t="inlineStr">
        <is>
          <t>2026-06-28</t>
        </is>
      </c>
      <c r="B647" s="13" t="inlineStr">
        <is>
          <t>casadocorretormga.com.br</t>
        </is>
      </c>
      <c r="C647" s="13" t="inlineStr">
        <is>
          <t>Casa do Corretor MGA</t>
        </is>
      </c>
      <c r="D647" s="13" t="inlineStr"/>
      <c r="E647" s="13" t="inlineStr">
        <is>
          <t>Chácara</t>
        </is>
      </c>
      <c r="F647" s="13" t="inlineStr">
        <is>
          <t>Rua Rio Negro</t>
        </is>
      </c>
      <c r="G647" s="13" t="inlineStr"/>
      <c r="H647" s="13" t="inlineStr"/>
      <c r="I647" s="13" t="inlineStr"/>
      <c r="K647" s="13" t="inlineStr"/>
      <c r="L647" s="13" t="n">
        <v>2200000</v>
      </c>
      <c r="M647" s="13" t="inlineStr">
        <is>
          <t>Ref: 13820000388 | https://casadocorretormga.com.br/imovel/13820000388/</t>
        </is>
      </c>
      <c r="N647" s="13" t="inlineStr">
        <is>
          <t>Novo</t>
        </is>
      </c>
      <c r="O647" s="13" t="inlineStr"/>
    </row>
    <row r="648">
      <c r="A648" s="13" t="inlineStr">
        <is>
          <t>2026-06-28</t>
        </is>
      </c>
      <c r="B648" s="13" t="inlineStr">
        <is>
          <t>casadocorretormga.com.br</t>
        </is>
      </c>
      <c r="C648" s="13" t="inlineStr">
        <is>
          <t>Casa do Corretor MGA</t>
        </is>
      </c>
      <c r="D648" s="13" t="inlineStr"/>
      <c r="E648" s="13" t="inlineStr">
        <is>
          <t>Chácara</t>
        </is>
      </c>
      <c r="F648" s="13" t="inlineStr">
        <is>
          <t>Rua Nilo Cairo</t>
        </is>
      </c>
      <c r="G648" s="13" t="n">
        <v>300</v>
      </c>
      <c r="H648" s="13" t="inlineStr"/>
      <c r="I648" s="13" t="inlineStr"/>
      <c r="K648" s="13" t="inlineStr"/>
      <c r="L648" s="13" t="n">
        <v>2400000</v>
      </c>
      <c r="M648" s="13" t="inlineStr">
        <is>
          <t>Ref: 13820000281 | https://casadocorretormga.com.br/imovel/13820000281/</t>
        </is>
      </c>
      <c r="N648" s="13" t="inlineStr">
        <is>
          <t>Novo</t>
        </is>
      </c>
      <c r="O648" s="13" t="inlineStr"/>
    </row>
    <row r="649">
      <c r="A649" s="13" t="inlineStr">
        <is>
          <t>2026-06-28</t>
        </is>
      </c>
      <c r="B649" s="13" t="inlineStr">
        <is>
          <t>casadocorretormga.com.br</t>
        </is>
      </c>
      <c r="C649" s="13" t="inlineStr">
        <is>
          <t>Casa do Corretor MGA</t>
        </is>
      </c>
      <c r="D649" s="13" t="inlineStr"/>
      <c r="E649" s="13" t="inlineStr">
        <is>
          <t>Casa</t>
        </is>
      </c>
      <c r="F649" s="13" t="inlineStr">
        <is>
          <t>Rodovia Pr317</t>
        </is>
      </c>
      <c r="G649" s="13" t="n">
        <v>350</v>
      </c>
      <c r="H649" s="13" t="inlineStr"/>
      <c r="I649" s="13" t="inlineStr"/>
      <c r="K649" s="13" t="inlineStr"/>
      <c r="L649" s="13" t="n">
        <v>2500000</v>
      </c>
      <c r="M649" s="13" t="inlineStr">
        <is>
          <t>Ref: 13820000318 | https://casadocorretormga.com.br/imovel/13820000318/</t>
        </is>
      </c>
      <c r="N649" s="13" t="inlineStr">
        <is>
          <t>Novo</t>
        </is>
      </c>
      <c r="O649" s="13" t="inlineStr"/>
    </row>
    <row r="650">
      <c r="A650" s="13" t="inlineStr">
        <is>
          <t>2026-06-28</t>
        </is>
      </c>
      <c r="B650" s="13" t="inlineStr">
        <is>
          <t>casadocorretormga.com.br</t>
        </is>
      </c>
      <c r="C650" s="13" t="inlineStr">
        <is>
          <t>Casa do Corretor MGA</t>
        </is>
      </c>
      <c r="D650" s="13" t="inlineStr"/>
      <c r="E650" s="13" t="inlineStr">
        <is>
          <t>Casa em Condomínio</t>
        </is>
      </c>
      <c r="F650" s="13" t="inlineStr">
        <is>
          <t>Estrada Romeirinha</t>
        </is>
      </c>
      <c r="G650" s="13" t="n">
        <v>280</v>
      </c>
      <c r="H650" s="13" t="inlineStr"/>
      <c r="I650" s="13" t="inlineStr"/>
      <c r="K650" s="13" t="inlineStr"/>
      <c r="L650" s="13" t="n">
        <v>2800000</v>
      </c>
      <c r="M650" s="13" t="inlineStr">
        <is>
          <t>Ref: 13820000496 | https://casadocorretormga.com.br/imovel/13820000496/</t>
        </is>
      </c>
      <c r="N650" s="13" t="inlineStr">
        <is>
          <t>Novo</t>
        </is>
      </c>
      <c r="O650" s="13" t="inlineStr"/>
    </row>
    <row r="651">
      <c r="A651" s="13" t="inlineStr">
        <is>
          <t>2026-06-28</t>
        </is>
      </c>
      <c r="B651" s="13" t="inlineStr">
        <is>
          <t>casadocorretormga.com.br</t>
        </is>
      </c>
      <c r="C651" s="13" t="inlineStr">
        <is>
          <t>Casa do Corretor MGA</t>
        </is>
      </c>
      <c r="D651" s="13" t="inlineStr"/>
      <c r="E651" s="13" t="inlineStr">
        <is>
          <t>Casa</t>
        </is>
      </c>
      <c r="F651" s="13" t="inlineStr">
        <is>
          <t>Rua Pioneiro José Demori</t>
        </is>
      </c>
      <c r="G651" s="13" t="n">
        <v>458</v>
      </c>
      <c r="H651" s="13" t="inlineStr"/>
      <c r="I651" s="13" t="inlineStr"/>
      <c r="K651" s="13" t="inlineStr"/>
      <c r="L651" s="13" t="n">
        <v>3200000</v>
      </c>
      <c r="M651" s="13" t="inlineStr">
        <is>
          <t>Ref: 13820000510 | https://casadocorretormga.com.br/imovel/13820000510/</t>
        </is>
      </c>
      <c r="N651" s="13" t="inlineStr">
        <is>
          <t>Novo</t>
        </is>
      </c>
      <c r="O651" s="13" t="inlineStr"/>
    </row>
    <row r="652">
      <c r="A652" s="13" t="inlineStr">
        <is>
          <t>2026-06-28</t>
        </is>
      </c>
      <c r="B652" s="13" t="inlineStr">
        <is>
          <t>casadocorretormga.com.br</t>
        </is>
      </c>
      <c r="C652" s="13" t="inlineStr">
        <is>
          <t>Casa do Corretor MGA</t>
        </is>
      </c>
      <c r="D652" s="13" t="inlineStr"/>
      <c r="E652" s="13" t="inlineStr">
        <is>
          <t>Casa</t>
        </is>
      </c>
      <c r="F652" s="13" t="inlineStr">
        <is>
          <t>Rua das Camélias</t>
        </is>
      </c>
      <c r="G652" s="13" t="n">
        <v>884.58</v>
      </c>
      <c r="H652" s="13" t="inlineStr"/>
      <c r="I652" s="13" t="inlineStr"/>
      <c r="K652" s="13" t="inlineStr"/>
      <c r="L652" s="13" t="n">
        <v>6000000</v>
      </c>
      <c r="M652" s="13" t="inlineStr">
        <is>
          <t>Ref: 13820000480 | https://casadocorretormga.com.br/imovel/13820000480/</t>
        </is>
      </c>
      <c r="N652" s="13" t="inlineStr">
        <is>
          <t>Novo</t>
        </is>
      </c>
      <c r="O652" s="13" t="inlineStr"/>
    </row>
    <row r="653">
      <c r="A653" s="13" t="inlineStr">
        <is>
          <t>2026-06-28</t>
        </is>
      </c>
      <c r="B653" s="13" t="inlineStr">
        <is>
          <t>casadocorretormga.com.br</t>
        </is>
      </c>
      <c r="C653" s="13" t="inlineStr">
        <is>
          <t>Casa do Corretor MGA</t>
        </is>
      </c>
      <c r="D653" s="13" t="inlineStr"/>
      <c r="E653" s="13" t="inlineStr">
        <is>
          <t>Chácara</t>
        </is>
      </c>
      <c r="F653" s="13" t="inlineStr">
        <is>
          <t>Rodovia Pr317</t>
        </is>
      </c>
      <c r="G653" s="13" t="n">
        <v>96000</v>
      </c>
      <c r="H653" s="13" t="inlineStr"/>
      <c r="I653" s="13" t="inlineStr"/>
      <c r="K653" s="13" t="inlineStr"/>
      <c r="L653" s="13" t="n">
        <v>8000000</v>
      </c>
      <c r="M653" s="13" t="inlineStr">
        <is>
          <t>Ref: 13820000276 | https://casadocorretormga.com.br/imovel/13820000276/</t>
        </is>
      </c>
      <c r="N653" s="13" t="inlineStr">
        <is>
          <t>Novo</t>
        </is>
      </c>
      <c r="O653" s="13" t="inlineStr"/>
    </row>
    <row r="654">
      <c r="A654" s="13" t="inlineStr">
        <is>
          <t>2026-06-28</t>
        </is>
      </c>
      <c r="B654" s="13" t="inlineStr">
        <is>
          <t>harakiimoveis.com.br</t>
        </is>
      </c>
      <c r="C654" s="13" t="inlineStr">
        <is>
          <t>Haraki Imóveis</t>
        </is>
      </c>
      <c r="D654" s="13" t="inlineStr"/>
      <c r="E654" s="13" t="inlineStr">
        <is>
          <t>Imóvel</t>
        </is>
      </c>
      <c r="F654" s="13" t="inlineStr">
        <is>
          <t>Rua Pedro Américo, 145, Zona 05</t>
        </is>
      </c>
      <c r="G654" s="13" t="n">
        <v>205.21</v>
      </c>
      <c r="H654" s="13" t="inlineStr"/>
      <c r="I654" s="13" t="n">
        <v>1</v>
      </c>
      <c r="K654" s="13" t="n">
        <v>2</v>
      </c>
      <c r="L654" s="13" t="n">
        <v>979000</v>
      </c>
      <c r="M654" s="13" t="inlineStr">
        <is>
          <t>Ref: 00000297 | https://harakiimoveis.com.br/imovel/00000297/</t>
        </is>
      </c>
      <c r="N654" s="13" t="inlineStr">
        <is>
          <t>Novo</t>
        </is>
      </c>
      <c r="O654" s="13" t="inlineStr"/>
    </row>
    <row r="655">
      <c r="A655" s="13" t="inlineStr">
        <is>
          <t>2026-06-28</t>
        </is>
      </c>
      <c r="B655" s="13" t="inlineStr">
        <is>
          <t>harakiimoveis.com.br</t>
        </is>
      </c>
      <c r="C655" s="13" t="inlineStr">
        <is>
          <t>Haraki Imóveis</t>
        </is>
      </c>
      <c r="D655" s="13" t="inlineStr"/>
      <c r="E655" s="13" t="inlineStr">
        <is>
          <t>Imóvel</t>
        </is>
      </c>
      <c r="F655" s="13" t="inlineStr">
        <is>
          <t>Rua Pioneira Vergínia Maria Fecchio, 588, Jardim Itália II</t>
        </is>
      </c>
      <c r="G655" s="13" t="n">
        <v>318.23</v>
      </c>
      <c r="H655" s="13" t="n">
        <v>1</v>
      </c>
      <c r="I655" s="13" t="n">
        <v>3</v>
      </c>
      <c r="K655" s="13" t="n">
        <v>4</v>
      </c>
      <c r="L655" s="13" t="n">
        <v>1650000</v>
      </c>
      <c r="M655" s="13" t="inlineStr">
        <is>
          <t>Ref: 00000289 | https://harakiimoveis.com.br/imovel/00000289/</t>
        </is>
      </c>
      <c r="N655" s="13" t="inlineStr">
        <is>
          <t>Novo</t>
        </is>
      </c>
      <c r="O655" s="13" t="inlineStr"/>
    </row>
    <row r="656">
      <c r="A656" s="13" t="inlineStr">
        <is>
          <t>2026-06-28</t>
        </is>
      </c>
      <c r="B656" s="13" t="inlineStr">
        <is>
          <t>harakiimoveis.com.br</t>
        </is>
      </c>
      <c r="C656" s="13" t="inlineStr">
        <is>
          <t>Haraki Imóveis</t>
        </is>
      </c>
      <c r="D656" s="13" t="inlineStr"/>
      <c r="E656" s="13" t="inlineStr">
        <is>
          <t>Imóvel</t>
        </is>
      </c>
      <c r="F656" s="13" t="inlineStr">
        <is>
          <t>Rua VitÃ³rio del Ã‚ngelo, 503, Jardim Cidade Monções</t>
        </is>
      </c>
      <c r="G656" s="13" t="n">
        <v>272</v>
      </c>
      <c r="H656" s="13" t="n">
        <v>3</v>
      </c>
      <c r="I656" s="13" t="n">
        <v>5</v>
      </c>
      <c r="K656" s="13" t="n">
        <v>4</v>
      </c>
      <c r="L656" s="13" t="n">
        <v>2600000</v>
      </c>
      <c r="M656" s="13" t="inlineStr">
        <is>
          <t>Ref: 00000197 | https://harakiimoveis.com.br/imovel/00000197/</t>
        </is>
      </c>
      <c r="N656" s="13" t="inlineStr">
        <is>
          <t>Novo</t>
        </is>
      </c>
      <c r="O656" s="13" t="inlineStr"/>
    </row>
    <row r="657">
      <c r="A657" s="13" t="inlineStr">
        <is>
          <t>2026-06-28</t>
        </is>
      </c>
      <c r="B657" s="13" t="inlineStr">
        <is>
          <t>harakiimoveis.com.br</t>
        </is>
      </c>
      <c r="C657" s="13" t="inlineStr">
        <is>
          <t>Haraki Imóveis</t>
        </is>
      </c>
      <c r="D657" s="13" t="inlineStr"/>
      <c r="E657" s="13" t="inlineStr">
        <is>
          <t>Imóvel</t>
        </is>
      </c>
      <c r="F657" s="13" t="inlineStr">
        <is>
          <t>Avenida São Paulo, 1150, Zona 01 - Centro</t>
        </is>
      </c>
      <c r="G657" s="13" t="n">
        <v>28</v>
      </c>
      <c r="H657" s="13" t="n">
        <v>1</v>
      </c>
      <c r="I657" s="13" t="n">
        <v>1</v>
      </c>
      <c r="K657" s="13" t="n">
        <v>1</v>
      </c>
      <c r="L657" s="13" t="n">
        <v>85000</v>
      </c>
      <c r="M657" s="13" t="inlineStr">
        <is>
          <t>Ref: 00000229 | Be São Paulo | https://harakiimoveis.com.br/imovel/00000229/</t>
        </is>
      </c>
      <c r="N657" s="13" t="inlineStr">
        <is>
          <t>Novo</t>
        </is>
      </c>
      <c r="O657" s="13" t="inlineStr"/>
    </row>
    <row r="658">
      <c r="A658" s="13" t="inlineStr">
        <is>
          <t>2026-06-28</t>
        </is>
      </c>
      <c r="B658" s="13" t="inlineStr">
        <is>
          <t>harakiimoveis.com.br</t>
        </is>
      </c>
      <c r="C658" s="13" t="inlineStr">
        <is>
          <t>Haraki Imóveis</t>
        </is>
      </c>
      <c r="D658" s="13" t="inlineStr"/>
      <c r="E658" s="13" t="inlineStr">
        <is>
          <t>Imóvel</t>
        </is>
      </c>
      <c r="F658" s="13" t="inlineStr">
        <is>
          <t>Rua José Perez Sanchez Bonilha, 122, Jardim Campo Belo</t>
        </is>
      </c>
      <c r="G658" s="13" t="n">
        <v>200</v>
      </c>
      <c r="H658" s="13" t="inlineStr"/>
      <c r="I658" s="13" t="inlineStr"/>
      <c r="K658" s="13" t="inlineStr"/>
      <c r="L658" s="13" t="n">
        <v>135000</v>
      </c>
      <c r="M658" s="13" t="inlineStr">
        <is>
          <t>Ref: 00000363 | https://harakiimoveis.com.br/imovel/00000363/</t>
        </is>
      </c>
      <c r="N658" s="13" t="inlineStr">
        <is>
          <t>Novo</t>
        </is>
      </c>
      <c r="O658" s="13" t="inlineStr"/>
    </row>
    <row r="659">
      <c r="A659" s="13" t="inlineStr">
        <is>
          <t>2026-06-28</t>
        </is>
      </c>
      <c r="B659" s="13" t="inlineStr">
        <is>
          <t>harakiimoveis.com.br</t>
        </is>
      </c>
      <c r="C659" s="13" t="inlineStr">
        <is>
          <t>Haraki Imóveis</t>
        </is>
      </c>
      <c r="D659" s="13" t="inlineStr"/>
      <c r="E659" s="13" t="inlineStr">
        <is>
          <t>Imóvel</t>
        </is>
      </c>
      <c r="F659" s="13" t="inlineStr">
        <is>
          <t>Rua Pioneira Maria Otávia do Nascimento, Jardim Paulista IV</t>
        </is>
      </c>
      <c r="G659" s="13" t="n">
        <v>269</v>
      </c>
      <c r="H659" s="13" t="inlineStr"/>
      <c r="I659" s="13" t="inlineStr"/>
      <c r="K659" s="13" t="inlineStr"/>
      <c r="L659" s="13" t="n">
        <v>190000</v>
      </c>
      <c r="M659" s="13" t="inlineStr">
        <is>
          <t>Ref: 00000052 | https://harakiimoveis.com.br/imovel/00000052/</t>
        </is>
      </c>
      <c r="N659" s="13" t="inlineStr">
        <is>
          <t>Novo</t>
        </is>
      </c>
      <c r="O659" s="13" t="inlineStr"/>
    </row>
    <row r="660">
      <c r="A660" s="13" t="inlineStr">
        <is>
          <t>2026-06-28</t>
        </is>
      </c>
      <c r="B660" s="13" t="inlineStr">
        <is>
          <t>harakiimoveis.com.br</t>
        </is>
      </c>
      <c r="C660" s="13" t="inlineStr">
        <is>
          <t>Haraki Imóveis</t>
        </is>
      </c>
      <c r="D660" s="13" t="inlineStr"/>
      <c r="E660" s="13" t="inlineStr">
        <is>
          <t>Imóvel</t>
        </is>
      </c>
      <c r="F660" s="13" t="inlineStr">
        <is>
          <t>Rua Aparecido Beságio, Jardim Diamante</t>
        </is>
      </c>
      <c r="G660" s="13" t="n">
        <v>267</v>
      </c>
      <c r="H660" s="13" t="inlineStr"/>
      <c r="I660" s="13" t="inlineStr"/>
      <c r="K660" s="13" t="inlineStr"/>
      <c r="L660" s="13" t="n">
        <v>190000</v>
      </c>
      <c r="M660" s="13" t="inlineStr">
        <is>
          <t>Ref: 00000115 | https://harakiimoveis.com.br/imovel/00000115/</t>
        </is>
      </c>
      <c r="N660" s="13" t="inlineStr">
        <is>
          <t>Novo</t>
        </is>
      </c>
      <c r="O660" s="13" t="inlineStr"/>
    </row>
    <row r="661">
      <c r="A661" s="13" t="inlineStr">
        <is>
          <t>2026-06-28</t>
        </is>
      </c>
      <c r="B661" s="13" t="inlineStr">
        <is>
          <t>harakiimoveis.com.br</t>
        </is>
      </c>
      <c r="C661" s="13" t="inlineStr">
        <is>
          <t>Haraki Imóveis</t>
        </is>
      </c>
      <c r="D661" s="13" t="inlineStr"/>
      <c r="E661" s="13" t="inlineStr">
        <is>
          <t>Imóvel</t>
        </is>
      </c>
      <c r="F661" s="13" t="inlineStr">
        <is>
          <t>Rua Pioneiro Altamiro Ferreira dos Santo, Jardim Petrópolis</t>
        </is>
      </c>
      <c r="G661" s="13" t="n">
        <v>156</v>
      </c>
      <c r="H661" s="13" t="inlineStr"/>
      <c r="I661" s="13" t="inlineStr"/>
      <c r="K661" s="13" t="inlineStr"/>
      <c r="L661" s="13" t="n">
        <v>190000</v>
      </c>
      <c r="M661" s="13" t="inlineStr">
        <is>
          <t>Ref: 00000208 | https://harakiimoveis.com.br/imovel/00000208/</t>
        </is>
      </c>
      <c r="N661" s="13" t="inlineStr">
        <is>
          <t>Novo</t>
        </is>
      </c>
      <c r="O661" s="13" t="inlineStr"/>
    </row>
    <row r="662">
      <c r="A662" s="13" t="inlineStr">
        <is>
          <t>2026-06-28</t>
        </is>
      </c>
      <c r="B662" s="13" t="inlineStr">
        <is>
          <t>harakiimoveis.com.br</t>
        </is>
      </c>
      <c r="C662" s="13" t="inlineStr">
        <is>
          <t>Haraki Imóveis</t>
        </is>
      </c>
      <c r="D662" s="13" t="inlineStr"/>
      <c r="E662" s="13" t="inlineStr">
        <is>
          <t>Imóvel</t>
        </is>
      </c>
      <c r="F662" s="13" t="inlineStr">
        <is>
          <t>Rua Pioneiro Rubens Antônio Guimarães, Jardim Oriental</t>
        </is>
      </c>
      <c r="G662" s="13" t="n">
        <v>200</v>
      </c>
      <c r="H662" s="13" t="inlineStr"/>
      <c r="I662" s="13" t="inlineStr"/>
      <c r="K662" s="13" t="inlineStr"/>
      <c r="L662" s="13" t="n">
        <v>190000</v>
      </c>
      <c r="M662" s="13" t="inlineStr">
        <is>
          <t>Ref: 00000464 | https://harakiimoveis.com.br/imovel/00000464/</t>
        </is>
      </c>
      <c r="N662" s="13" t="inlineStr">
        <is>
          <t>Novo</t>
        </is>
      </c>
      <c r="O662" s="13" t="inlineStr"/>
    </row>
    <row r="663">
      <c r="A663" s="13" t="inlineStr">
        <is>
          <t>2026-06-28</t>
        </is>
      </c>
      <c r="B663" s="13" t="inlineStr">
        <is>
          <t>harakiimoveis.com.br</t>
        </is>
      </c>
      <c r="C663" s="13" t="inlineStr">
        <is>
          <t>Haraki Imóveis</t>
        </is>
      </c>
      <c r="D663" s="13" t="inlineStr"/>
      <c r="E663" s="13" t="inlineStr">
        <is>
          <t>Imóvel</t>
        </is>
      </c>
      <c r="F663" s="13" t="inlineStr">
        <is>
          <t>Rua José Granado Parra, 532, Jardim Paulista</t>
        </is>
      </c>
      <c r="G663" s="13" t="n">
        <v>210.05</v>
      </c>
      <c r="H663" s="13" t="inlineStr"/>
      <c r="I663" s="13" t="inlineStr"/>
      <c r="K663" s="13" t="inlineStr"/>
      <c r="L663" s="13" t="n">
        <v>190000</v>
      </c>
      <c r="M663" s="13" t="inlineStr">
        <is>
          <t>Ref: 00000488 | https://harakiimoveis.com.br/imovel/00000488/</t>
        </is>
      </c>
      <c r="N663" s="13" t="inlineStr">
        <is>
          <t>Novo</t>
        </is>
      </c>
      <c r="O663" s="13" t="inlineStr"/>
    </row>
    <row r="664">
      <c r="A664" s="13" t="inlineStr">
        <is>
          <t>2026-06-28</t>
        </is>
      </c>
      <c r="B664" s="13" t="inlineStr">
        <is>
          <t>harakiimoveis.com.br</t>
        </is>
      </c>
      <c r="C664" s="13" t="inlineStr">
        <is>
          <t>Haraki Imóveis</t>
        </is>
      </c>
      <c r="D664" s="13" t="inlineStr"/>
      <c r="E664" s="13" t="inlineStr">
        <is>
          <t>Imóvel</t>
        </is>
      </c>
      <c r="F664" s="13" t="inlineStr">
        <is>
          <t>Rua Dalila da Silva Rios, 197, Jardim Oriental</t>
        </is>
      </c>
      <c r="G664" s="13" t="n">
        <v>200</v>
      </c>
      <c r="H664" s="13" t="inlineStr"/>
      <c r="I664" s="13" t="inlineStr"/>
      <c r="K664" s="13" t="inlineStr"/>
      <c r="L664" s="13" t="n">
        <v>210000</v>
      </c>
      <c r="M664" s="13" t="inlineStr">
        <is>
          <t>Ref: 00000184 | https://harakiimoveis.com.br/imovel/00000184/</t>
        </is>
      </c>
      <c r="N664" s="13" t="inlineStr">
        <is>
          <t>Novo</t>
        </is>
      </c>
      <c r="O664" s="13" t="inlineStr"/>
    </row>
    <row r="665">
      <c r="A665" s="13" t="inlineStr">
        <is>
          <t>2026-06-28</t>
        </is>
      </c>
      <c r="B665" s="13" t="inlineStr">
        <is>
          <t>harakiimoveis.com.br</t>
        </is>
      </c>
      <c r="C665" s="13" t="inlineStr">
        <is>
          <t>Haraki Imóveis</t>
        </is>
      </c>
      <c r="D665" s="13" t="inlineStr"/>
      <c r="E665" s="13" t="inlineStr">
        <is>
          <t>Imóvel</t>
        </is>
      </c>
      <c r="F665" s="13" t="inlineStr">
        <is>
          <t>Rua Cantor Raul Seixas, 343, Jardim Ipanema</t>
        </is>
      </c>
      <c r="G665" s="13" t="n">
        <v>45</v>
      </c>
      <c r="H665" s="13" t="n">
        <v>2</v>
      </c>
      <c r="I665" s="13" t="n">
        <v>1</v>
      </c>
      <c r="K665" s="13" t="n">
        <v>1</v>
      </c>
      <c r="L665" s="13" t="n">
        <v>210000</v>
      </c>
      <c r="M665" s="13" t="inlineStr">
        <is>
          <t>Ref: 00000457 | Residencial Parque das Paineiras | https://harakiimoveis.com.br/imovel/00000457/</t>
        </is>
      </c>
      <c r="N665" s="13" t="inlineStr">
        <is>
          <t>Novo</t>
        </is>
      </c>
      <c r="O665" s="13" t="inlineStr"/>
    </row>
    <row r="666">
      <c r="A666" s="13" t="inlineStr">
        <is>
          <t>2026-06-28</t>
        </is>
      </c>
      <c r="B666" s="13" t="inlineStr">
        <is>
          <t>harakiimoveis.com.br</t>
        </is>
      </c>
      <c r="C666" s="13" t="inlineStr">
        <is>
          <t>Haraki Imóveis</t>
        </is>
      </c>
      <c r="D666" s="13" t="inlineStr"/>
      <c r="E666" s="13" t="inlineStr">
        <is>
          <t>Imóvel</t>
        </is>
      </c>
      <c r="F666" s="13" t="inlineStr">
        <is>
          <t>Rua Pioneiro Alfredo José da Costa, 472, Jardim Alvorada</t>
        </is>
      </c>
      <c r="G666" s="13" t="n">
        <v>54.63</v>
      </c>
      <c r="H666" s="13" t="n">
        <v>2</v>
      </c>
      <c r="I666" s="13" t="n">
        <v>1</v>
      </c>
      <c r="K666" s="13" t="n">
        <v>1</v>
      </c>
      <c r="L666" s="13" t="n">
        <v>250000</v>
      </c>
      <c r="M666" s="13" t="inlineStr">
        <is>
          <t>Ref: 00000501 | Brisa da Aurora | https://harakiimoveis.com.br/imovel/00000501/</t>
        </is>
      </c>
      <c r="N666" s="13" t="inlineStr">
        <is>
          <t>Novo</t>
        </is>
      </c>
      <c r="O666" s="13" t="inlineStr"/>
    </row>
    <row r="667">
      <c r="A667" s="13" t="inlineStr">
        <is>
          <t>2026-06-28</t>
        </is>
      </c>
      <c r="B667" s="13" t="inlineStr">
        <is>
          <t>harakiimoveis.com.br</t>
        </is>
      </c>
      <c r="C667" s="13" t="inlineStr">
        <is>
          <t>Haraki Imóveis</t>
        </is>
      </c>
      <c r="D667" s="13" t="inlineStr"/>
      <c r="E667" s="13" t="inlineStr">
        <is>
          <t>Imóvel</t>
        </is>
      </c>
      <c r="F667" s="13" t="inlineStr">
        <is>
          <t>Avenida Pioneiro Maurício Mariani, Jardim Castanheira</t>
        </is>
      </c>
      <c r="G667" s="13" t="n">
        <v>400</v>
      </c>
      <c r="H667" s="13" t="inlineStr"/>
      <c r="I667" s="13" t="inlineStr"/>
      <c r="K667" s="13" t="inlineStr"/>
      <c r="L667" s="13" t="n">
        <v>255000</v>
      </c>
      <c r="M667" s="13" t="inlineStr">
        <is>
          <t>Ref: 00000506 | https://harakiimoveis.com.br/imovel/00000506/</t>
        </is>
      </c>
      <c r="N667" s="13" t="inlineStr">
        <is>
          <t>Novo</t>
        </is>
      </c>
      <c r="O667" s="13" t="inlineStr"/>
    </row>
    <row r="668">
      <c r="A668" s="13" t="inlineStr">
        <is>
          <t>2026-06-28</t>
        </is>
      </c>
      <c r="B668" s="13" t="inlineStr">
        <is>
          <t>harakiimoveis.com.br</t>
        </is>
      </c>
      <c r="C668" s="13" t="inlineStr">
        <is>
          <t>Haraki Imóveis</t>
        </is>
      </c>
      <c r="D668" s="13" t="inlineStr"/>
      <c r="E668" s="13" t="inlineStr">
        <is>
          <t>Imóvel</t>
        </is>
      </c>
      <c r="F668" s="13" t="inlineStr">
        <is>
          <t>Rua Izabel Fernandes Cano, 463, Jardim Espanha</t>
        </is>
      </c>
      <c r="G668" s="13" t="n">
        <v>248</v>
      </c>
      <c r="H668" s="13" t="inlineStr"/>
      <c r="I668" s="13" t="inlineStr"/>
      <c r="K668" s="13" t="inlineStr"/>
      <c r="L668" s="13" t="n">
        <v>260000</v>
      </c>
      <c r="M668" s="13" t="inlineStr">
        <is>
          <t>Ref: 00000007 | https://harakiimoveis.com.br/imovel/00000007/</t>
        </is>
      </c>
      <c r="N668" s="13" t="inlineStr">
        <is>
          <t>Novo</t>
        </is>
      </c>
      <c r="O668" s="13" t="inlineStr"/>
    </row>
    <row r="669">
      <c r="A669" s="13" t="inlineStr">
        <is>
          <t>2026-06-28</t>
        </is>
      </c>
      <c r="B669" s="13" t="inlineStr">
        <is>
          <t>harakiimoveis.com.br</t>
        </is>
      </c>
      <c r="C669" s="13" t="inlineStr">
        <is>
          <t>Haraki Imóveis</t>
        </is>
      </c>
      <c r="D669" s="13" t="inlineStr"/>
      <c r="E669" s="13" t="inlineStr">
        <is>
          <t>Imóvel</t>
        </is>
      </c>
      <c r="F669" s="13" t="inlineStr">
        <is>
          <t>Rua Constante Sala, Jardim Paulista III</t>
        </is>
      </c>
      <c r="G669" s="13" t="n">
        <v>434</v>
      </c>
      <c r="H669" s="13" t="inlineStr"/>
      <c r="I669" s="13" t="inlineStr"/>
      <c r="K669" s="13" t="inlineStr"/>
      <c r="L669" s="13" t="n">
        <v>260000</v>
      </c>
      <c r="M669" s="13" t="inlineStr">
        <is>
          <t>Ref: 00000080 | https://harakiimoveis.com.br/imovel/00000080/</t>
        </is>
      </c>
      <c r="N669" s="13" t="inlineStr">
        <is>
          <t>Novo</t>
        </is>
      </c>
      <c r="O669" s="13" t="inlineStr"/>
    </row>
    <row r="670">
      <c r="A670" s="13" t="inlineStr">
        <is>
          <t>2026-06-28</t>
        </is>
      </c>
      <c r="B670" s="13" t="inlineStr">
        <is>
          <t>harakiimoveis.com.br</t>
        </is>
      </c>
      <c r="C670" s="13" t="inlineStr">
        <is>
          <t>Haraki Imóveis</t>
        </is>
      </c>
      <c r="D670" s="13" t="inlineStr"/>
      <c r="E670" s="13" t="inlineStr">
        <is>
          <t>Imóvel</t>
        </is>
      </c>
      <c r="F670" s="13" t="inlineStr">
        <is>
          <t>Rua 36587, Jardim Novo Paulista</t>
        </is>
      </c>
      <c r="G670" s="13" t="n">
        <v>406</v>
      </c>
      <c r="H670" s="13" t="inlineStr"/>
      <c r="I670" s="13" t="inlineStr"/>
      <c r="K670" s="13" t="inlineStr"/>
      <c r="L670" s="13" t="n">
        <v>260000</v>
      </c>
      <c r="M670" s="13" t="inlineStr">
        <is>
          <t>Ref: 00000082 | https://harakiimoveis.com.br/imovel/00000082/</t>
        </is>
      </c>
      <c r="N670" s="13" t="inlineStr">
        <is>
          <t>Novo</t>
        </is>
      </c>
      <c r="O670" s="13" t="inlineStr"/>
    </row>
    <row r="671">
      <c r="A671" s="13" t="inlineStr">
        <is>
          <t>2026-06-28</t>
        </is>
      </c>
      <c r="B671" s="13" t="inlineStr">
        <is>
          <t>harakiimoveis.com.br</t>
        </is>
      </c>
      <c r="C671" s="13" t="inlineStr">
        <is>
          <t>Haraki Imóveis</t>
        </is>
      </c>
      <c r="D671" s="13" t="inlineStr"/>
      <c r="E671" s="13" t="inlineStr">
        <is>
          <t>Imóvel</t>
        </is>
      </c>
      <c r="F671" s="13" t="inlineStr">
        <is>
          <t>Avenida das Torres, 3574, Jardim Rebouças</t>
        </is>
      </c>
      <c r="G671" s="13" t="n">
        <v>431.58</v>
      </c>
      <c r="H671" s="13" t="inlineStr"/>
      <c r="I671" s="13" t="inlineStr"/>
      <c r="K671" s="13" t="inlineStr"/>
      <c r="L671" s="13" t="n">
        <v>260000</v>
      </c>
      <c r="M671" s="13" t="inlineStr">
        <is>
          <t>Ref: 00000392 | https://harakiimoveis.com.br/imovel/00000392/</t>
        </is>
      </c>
      <c r="N671" s="13" t="inlineStr">
        <is>
          <t>Novo</t>
        </is>
      </c>
      <c r="O671" s="13" t="inlineStr"/>
    </row>
    <row r="672">
      <c r="A672" s="13" t="inlineStr">
        <is>
          <t>2026-06-28</t>
        </is>
      </c>
      <c r="B672" s="13" t="inlineStr">
        <is>
          <t>harakiimoveis.com.br</t>
        </is>
      </c>
      <c r="C672" s="13" t="inlineStr">
        <is>
          <t>Haraki Imóveis</t>
        </is>
      </c>
      <c r="D672" s="13" t="inlineStr"/>
      <c r="E672" s="13" t="inlineStr">
        <is>
          <t>Imóvel</t>
        </is>
      </c>
      <c r="F672" s="13" t="inlineStr">
        <is>
          <t>Praça São Benedito, 186, Vila Esperança</t>
        </is>
      </c>
      <c r="G672" s="13" t="n">
        <v>88.67</v>
      </c>
      <c r="H672" s="13" t="n">
        <v>2</v>
      </c>
      <c r="I672" s="13" t="n">
        <v>2</v>
      </c>
      <c r="K672" s="13" t="n">
        <v>1</v>
      </c>
      <c r="L672" s="13" t="n">
        <v>270000</v>
      </c>
      <c r="M672" s="13" t="inlineStr">
        <is>
          <t>Ref: 00000345 | Spazio Marseille | https://harakiimoveis.com.br/imovel/00000345/</t>
        </is>
      </c>
      <c r="N672" s="13" t="inlineStr">
        <is>
          <t>Novo</t>
        </is>
      </c>
      <c r="O672" s="13" t="inlineStr"/>
    </row>
    <row r="673">
      <c r="A673" s="13" t="inlineStr">
        <is>
          <t>2026-06-28</t>
        </is>
      </c>
      <c r="B673" s="13" t="inlineStr">
        <is>
          <t>harakiimoveis.com.br</t>
        </is>
      </c>
      <c r="C673" s="13" t="inlineStr">
        <is>
          <t>Haraki Imóveis</t>
        </is>
      </c>
      <c r="D673" s="13" t="inlineStr"/>
      <c r="E673" s="13" t="inlineStr">
        <is>
          <t>Imóvel</t>
        </is>
      </c>
      <c r="F673" s="13" t="inlineStr">
        <is>
          <t>Rua Divino Bortolotto, 537, Jardim Cidade Monções</t>
        </is>
      </c>
      <c r="G673" s="13" t="n">
        <v>170.33</v>
      </c>
      <c r="H673" s="13" t="inlineStr"/>
      <c r="I673" s="13" t="inlineStr"/>
      <c r="K673" s="13" t="inlineStr"/>
      <c r="L673" s="13" t="n">
        <v>280000</v>
      </c>
      <c r="M673" s="13" t="inlineStr">
        <is>
          <t>Ref: 00000494 | https://harakiimoveis.com.br/imovel/00000494/</t>
        </is>
      </c>
      <c r="N673" s="13" t="inlineStr">
        <is>
          <t>Novo</t>
        </is>
      </c>
      <c r="O673" s="13" t="inlineStr"/>
    </row>
    <row r="674">
      <c r="A674" s="13" t="inlineStr">
        <is>
          <t>2026-06-28</t>
        </is>
      </c>
      <c r="B674" s="13" t="inlineStr">
        <is>
          <t>harakiimoveis.com.br</t>
        </is>
      </c>
      <c r="C674" s="13" t="inlineStr">
        <is>
          <t>Haraki Imóveis</t>
        </is>
      </c>
      <c r="D674" s="13" t="inlineStr"/>
      <c r="E674" s="13" t="inlineStr">
        <is>
          <t>Imóvel</t>
        </is>
      </c>
      <c r="F674" s="13" t="inlineStr">
        <is>
          <t>Rua Rio Paraguaçu, 572, Jardim Oásis</t>
        </is>
      </c>
      <c r="G674" s="13" t="n">
        <v>361.3</v>
      </c>
      <c r="H674" s="13" t="n">
        <v>1</v>
      </c>
      <c r="I674" s="13" t="n">
        <v>1</v>
      </c>
      <c r="K674" s="13" t="n">
        <v>3</v>
      </c>
      <c r="L674" s="13" t="n">
        <v>285000</v>
      </c>
      <c r="M674" s="13" t="inlineStr">
        <is>
          <t>Ref: 00000420 | https://harakiimoveis.com.br/imovel/00000420/</t>
        </is>
      </c>
      <c r="N674" s="13" t="inlineStr">
        <is>
          <t>Novo</t>
        </is>
      </c>
      <c r="O674" s="13" t="inlineStr"/>
    </row>
    <row r="675">
      <c r="A675" s="13" t="inlineStr">
        <is>
          <t>2026-06-28</t>
        </is>
      </c>
      <c r="B675" s="13" t="inlineStr">
        <is>
          <t>harakiimoveis.com.br</t>
        </is>
      </c>
      <c r="C675" s="13" t="inlineStr">
        <is>
          <t>Haraki Imóveis</t>
        </is>
      </c>
      <c r="D675" s="13" t="inlineStr"/>
      <c r="E675" s="13" t="inlineStr">
        <is>
          <t>Imóvel</t>
        </is>
      </c>
      <c r="F675" s="13" t="inlineStr">
        <is>
          <t>Rua Assunção, 598, Vila Marumby</t>
        </is>
      </c>
      <c r="G675" s="13" t="n">
        <v>51.09</v>
      </c>
      <c r="H675" s="13" t="n">
        <v>1</v>
      </c>
      <c r="I675" s="13" t="n">
        <v>2</v>
      </c>
      <c r="K675" s="13" t="n">
        <v>1</v>
      </c>
      <c r="L675" s="13" t="n">
        <v>290000</v>
      </c>
      <c r="M675" s="13" t="inlineStr">
        <is>
          <t>Ref: 00000432 | Spazio Monreal | https://harakiimoveis.com.br/imovel/00000432/</t>
        </is>
      </c>
      <c r="N675" s="13" t="inlineStr">
        <is>
          <t>Novo</t>
        </is>
      </c>
      <c r="O675" s="13" t="inlineStr"/>
    </row>
    <row r="676">
      <c r="A676" s="13" t="inlineStr">
        <is>
          <t>2026-06-28</t>
        </is>
      </c>
      <c r="B676" s="13" t="inlineStr">
        <is>
          <t>harakiimoveis.com.br</t>
        </is>
      </c>
      <c r="C676" s="13" t="inlineStr">
        <is>
          <t>Haraki Imóveis</t>
        </is>
      </c>
      <c r="D676" s="13" t="inlineStr"/>
      <c r="E676" s="13" t="inlineStr">
        <is>
          <t>Imóvel</t>
        </is>
      </c>
      <c r="F676" s="13" t="inlineStr">
        <is>
          <t>Rua Limeira, 854, Jardim Campos</t>
        </is>
      </c>
      <c r="G676" s="13" t="n">
        <v>410</v>
      </c>
      <c r="H676" s="13" t="inlineStr"/>
      <c r="I676" s="13" t="inlineStr"/>
      <c r="K676" s="13" t="inlineStr"/>
      <c r="L676" s="13" t="n">
        <v>299000</v>
      </c>
      <c r="M676" s="13" t="inlineStr">
        <is>
          <t>Ref: 00000163 | https://harakiimoveis.com.br/imovel/00000163/</t>
        </is>
      </c>
      <c r="N676" s="13" t="inlineStr">
        <is>
          <t>Novo</t>
        </is>
      </c>
      <c r="O676" s="13" t="inlineStr"/>
    </row>
    <row r="677">
      <c r="A677" s="13" t="inlineStr">
        <is>
          <t>2026-06-28</t>
        </is>
      </c>
      <c r="B677" s="13" t="inlineStr">
        <is>
          <t>harakiimoveis.com.br</t>
        </is>
      </c>
      <c r="C677" s="13" t="inlineStr">
        <is>
          <t>Haraki Imóveis</t>
        </is>
      </c>
      <c r="D677" s="13" t="inlineStr"/>
      <c r="E677" s="13" t="inlineStr">
        <is>
          <t>Imóvel</t>
        </is>
      </c>
      <c r="F677" s="13" t="inlineStr">
        <is>
          <t>Avenida Londrina, 702, Zona 08</t>
        </is>
      </c>
      <c r="G677" s="13" t="n">
        <v>71</v>
      </c>
      <c r="H677" s="13" t="n">
        <v>1</v>
      </c>
      <c r="I677" s="13" t="n">
        <v>2</v>
      </c>
      <c r="K677" s="13" t="n">
        <v>1</v>
      </c>
      <c r="L677" s="13" t="n">
        <v>310000</v>
      </c>
      <c r="M677" s="13" t="inlineStr">
        <is>
          <t>Ref: 00000032 | Aerie | https://harakiimoveis.com.br/imovel/00000032/</t>
        </is>
      </c>
      <c r="N677" s="13" t="inlineStr">
        <is>
          <t>Novo</t>
        </is>
      </c>
      <c r="O677" s="13" t="inlineStr"/>
    </row>
    <row r="678">
      <c r="A678" s="13" t="inlineStr">
        <is>
          <t>2026-06-28</t>
        </is>
      </c>
      <c r="B678" s="13" t="inlineStr">
        <is>
          <t>harakiimoveis.com.br</t>
        </is>
      </c>
      <c r="C678" s="13" t="inlineStr">
        <is>
          <t>Haraki Imóveis</t>
        </is>
      </c>
      <c r="D678" s="13" t="inlineStr"/>
      <c r="E678" s="13" t="inlineStr">
        <is>
          <t>Imóvel</t>
        </is>
      </c>
      <c r="F678" s="13" t="inlineStr">
        <is>
          <t>Rua Goro Shima, Jardim Muníque</t>
        </is>
      </c>
      <c r="G678" s="13" t="n">
        <v>300</v>
      </c>
      <c r="H678" s="13" t="inlineStr"/>
      <c r="I678" s="13" t="inlineStr"/>
      <c r="K678" s="13" t="inlineStr"/>
      <c r="L678" s="13" t="n">
        <v>310000</v>
      </c>
      <c r="M678" s="13" t="inlineStr">
        <is>
          <t>Ref: 00000336 | https://harakiimoveis.com.br/imovel/00000336/</t>
        </is>
      </c>
      <c r="N678" s="13" t="inlineStr">
        <is>
          <t>Novo</t>
        </is>
      </c>
      <c r="O678" s="13" t="inlineStr"/>
    </row>
    <row r="679">
      <c r="A679" s="13" t="inlineStr">
        <is>
          <t>2026-06-28</t>
        </is>
      </c>
      <c r="B679" s="13" t="inlineStr">
        <is>
          <t>harakiimoveis.com.br</t>
        </is>
      </c>
      <c r="C679" s="13" t="inlineStr">
        <is>
          <t>Haraki Imóveis</t>
        </is>
      </c>
      <c r="D679" s="13" t="inlineStr"/>
      <c r="E679" s="13" t="inlineStr">
        <is>
          <t>Imóvel</t>
        </is>
      </c>
      <c r="F679" s="13" t="inlineStr">
        <is>
          <t>Rua Rui Barbosa, 1262, Zona 07</t>
        </is>
      </c>
      <c r="G679" s="13" t="n">
        <v>42.6</v>
      </c>
      <c r="H679" s="13" t="n"/>
      <c r="I679" s="13" t="n">
        <v>2</v>
      </c>
      <c r="K679" s="13" t="n">
        <v>1</v>
      </c>
      <c r="L679" s="13" t="n">
        <v>310000</v>
      </c>
      <c r="M679" s="13" t="inlineStr">
        <is>
          <t>Ref: 00000473 | Perseverance Residencial | https://harakiimoveis.com.br/imovel/00000473/</t>
        </is>
      </c>
      <c r="N679" s="13" t="inlineStr">
        <is>
          <t>Novo</t>
        </is>
      </c>
      <c r="O679" s="13" t="inlineStr"/>
    </row>
    <row r="680">
      <c r="A680" s="13" t="inlineStr">
        <is>
          <t>2026-06-28</t>
        </is>
      </c>
      <c r="B680" s="13" t="inlineStr">
        <is>
          <t>harakiimoveis.com.br</t>
        </is>
      </c>
      <c r="C680" s="13" t="inlineStr">
        <is>
          <t>Haraki Imóveis</t>
        </is>
      </c>
      <c r="D680" s="13" t="inlineStr"/>
      <c r="E680" s="13" t="inlineStr">
        <is>
          <t>Imóvel</t>
        </is>
      </c>
      <c r="F680" s="13" t="inlineStr">
        <is>
          <t>Rua Pioneiro Salvador Kessa, 894, Jardim Rebouças</t>
        </is>
      </c>
      <c r="G680" s="13" t="n">
        <v>390.66</v>
      </c>
      <c r="H680" s="13" t="inlineStr"/>
      <c r="I680" s="13" t="inlineStr"/>
      <c r="K680" s="13" t="inlineStr"/>
      <c r="L680" s="13" t="n">
        <v>315000</v>
      </c>
      <c r="M680" s="13" t="inlineStr">
        <is>
          <t>Ref: 00000356 | https://harakiimoveis.com.br/imovel/00000356/</t>
        </is>
      </c>
      <c r="N680" s="13" t="inlineStr">
        <is>
          <t>Novo</t>
        </is>
      </c>
      <c r="O680" s="13" t="inlineStr"/>
    </row>
    <row r="681">
      <c r="A681" s="13" t="inlineStr">
        <is>
          <t>2026-06-28</t>
        </is>
      </c>
      <c r="B681" s="13" t="inlineStr">
        <is>
          <t>harakiimoveis.com.br</t>
        </is>
      </c>
      <c r="C681" s="13" t="inlineStr">
        <is>
          <t>Haraki Imóveis</t>
        </is>
      </c>
      <c r="D681" s="13" t="inlineStr"/>
      <c r="E681" s="13" t="inlineStr">
        <is>
          <t>Imóvel</t>
        </is>
      </c>
      <c r="F681" s="13" t="inlineStr">
        <is>
          <t>Rua Alto Maringá, 87, Jardim Aurora</t>
        </is>
      </c>
      <c r="G681" s="13" t="n">
        <v>595</v>
      </c>
      <c r="H681" s="13" t="inlineStr"/>
      <c r="I681" s="13" t="inlineStr"/>
      <c r="K681" s="13" t="inlineStr"/>
      <c r="L681" s="13" t="n">
        <v>320000</v>
      </c>
      <c r="M681" s="13" t="inlineStr">
        <is>
          <t>Ref: 00000158 | https://harakiimoveis.com.br/imovel/00000158/</t>
        </is>
      </c>
      <c r="N681" s="13" t="inlineStr">
        <is>
          <t>Novo</t>
        </is>
      </c>
      <c r="O681" s="13" t="inlineStr"/>
    </row>
    <row r="682">
      <c r="A682" s="13" t="inlineStr">
        <is>
          <t>2026-06-28</t>
        </is>
      </c>
      <c r="B682" s="13" t="inlineStr">
        <is>
          <t>harakiimoveis.com.br</t>
        </is>
      </c>
      <c r="C682" s="13" t="inlineStr">
        <is>
          <t>Haraki Imóveis</t>
        </is>
      </c>
      <c r="D682" s="13" t="inlineStr"/>
      <c r="E682" s="13" t="inlineStr">
        <is>
          <t>Imóvel</t>
        </is>
      </c>
      <c r="F682" s="13" t="inlineStr">
        <is>
          <t>Avenida Alziro Zarur, 654, Vila Santa Izabel</t>
        </is>
      </c>
      <c r="G682" s="13" t="n">
        <v>49.9</v>
      </c>
      <c r="H682" s="13" t="n">
        <v>2</v>
      </c>
      <c r="I682" s="13" t="n">
        <v>1</v>
      </c>
      <c r="K682" s="13" t="n">
        <v>1</v>
      </c>
      <c r="L682" s="13" t="n">
        <v>320000</v>
      </c>
      <c r="M682" s="13" t="inlineStr">
        <is>
          <t>Ref: 00000529 | Residencial Alziro Zarur | https://harakiimoveis.com.br/imovel/00000529/</t>
        </is>
      </c>
      <c r="N682" s="13" t="inlineStr">
        <is>
          <t>Novo</t>
        </is>
      </c>
      <c r="O682" s="13" t="inlineStr"/>
    </row>
    <row r="683">
      <c r="A683" s="13" t="inlineStr">
        <is>
          <t>2026-06-28</t>
        </is>
      </c>
      <c r="B683" s="13" t="inlineStr">
        <is>
          <t>harakiimoveis.com.br</t>
        </is>
      </c>
      <c r="C683" s="13" t="inlineStr">
        <is>
          <t>Haraki Imóveis</t>
        </is>
      </c>
      <c r="D683" s="13" t="inlineStr"/>
      <c r="E683" s="13" t="inlineStr">
        <is>
          <t>Imóvel</t>
        </is>
      </c>
      <c r="F683" s="13" t="inlineStr">
        <is>
          <t>Rua Olímpio Mendes da Rocha, 355, Parque Res Cidade Nova</t>
        </is>
      </c>
      <c r="G683" s="13" t="n">
        <v>45</v>
      </c>
      <c r="H683" s="13" t="n"/>
      <c r="I683" s="13" t="n">
        <v>2</v>
      </c>
      <c r="K683" s="13" t="n">
        <v>1</v>
      </c>
      <c r="L683" s="13" t="n">
        <v>330000</v>
      </c>
      <c r="M683" s="13" t="inlineStr">
        <is>
          <t>Ref: 00000526 | Residencial Martinelli | https://harakiimoveis.com.br/imovel/00000526/</t>
        </is>
      </c>
      <c r="N683" s="13" t="inlineStr">
        <is>
          <t>Novo</t>
        </is>
      </c>
      <c r="O683" s="13" t="inlineStr"/>
    </row>
    <row r="684">
      <c r="A684" s="13" t="inlineStr">
        <is>
          <t>2026-06-28</t>
        </is>
      </c>
      <c r="B684" s="13" t="inlineStr">
        <is>
          <t>harakiimoveis.com.br</t>
        </is>
      </c>
      <c r="C684" s="13" t="inlineStr">
        <is>
          <t>Haraki Imóveis</t>
        </is>
      </c>
      <c r="D684" s="13" t="inlineStr"/>
      <c r="E684" s="13" t="inlineStr">
        <is>
          <t>Imóvel</t>
        </is>
      </c>
      <c r="F684" s="13" t="inlineStr">
        <is>
          <t>Avenida Alziro Zarur, 796, Vila Santa Izabel</t>
        </is>
      </c>
      <c r="G684" s="13" t="n">
        <v>109.25</v>
      </c>
      <c r="H684" s="13" t="n"/>
      <c r="I684" s="13" t="n">
        <v>2</v>
      </c>
      <c r="K684" s="13" t="n">
        <v>1</v>
      </c>
      <c r="L684" s="13" t="n">
        <v>335000</v>
      </c>
      <c r="M684" s="13" t="inlineStr">
        <is>
          <t>Ref: 00000448 | Maria Cândida | https://harakiimoveis.com.br/imovel/00000448/</t>
        </is>
      </c>
      <c r="N684" s="13" t="inlineStr">
        <is>
          <t>Novo</t>
        </is>
      </c>
      <c r="O684" s="13" t="inlineStr"/>
    </row>
    <row r="685">
      <c r="A685" s="13" t="inlineStr">
        <is>
          <t>2026-06-28</t>
        </is>
      </c>
      <c r="B685" s="13" t="inlineStr">
        <is>
          <t>harakiimoveis.com.br</t>
        </is>
      </c>
      <c r="C685" s="13" t="inlineStr">
        <is>
          <t>Haraki Imóveis</t>
        </is>
      </c>
      <c r="D685" s="13" t="inlineStr"/>
      <c r="E685" s="13" t="inlineStr">
        <is>
          <t>Imóvel</t>
        </is>
      </c>
      <c r="F685" s="13" t="inlineStr">
        <is>
          <t>Rua José Miranda Ferraz, 73, Jardim Espanha</t>
        </is>
      </c>
      <c r="G685" s="13" t="n">
        <v>400</v>
      </c>
      <c r="H685" s="13" t="inlineStr"/>
      <c r="I685" s="13" t="inlineStr"/>
      <c r="K685" s="13" t="inlineStr"/>
      <c r="L685" s="13" t="n">
        <v>340000</v>
      </c>
      <c r="M685" s="13" t="inlineStr">
        <is>
          <t>Ref: 00000103 | https://harakiimoveis.com.br/imovel/00000103/</t>
        </is>
      </c>
      <c r="N685" s="13" t="inlineStr">
        <is>
          <t>Novo</t>
        </is>
      </c>
      <c r="O685" s="13" t="inlineStr"/>
    </row>
    <row r="686">
      <c r="A686" s="13" t="inlineStr">
        <is>
          <t>2026-06-28</t>
        </is>
      </c>
      <c r="B686" s="13" t="inlineStr">
        <is>
          <t>harakiimoveis.com.br</t>
        </is>
      </c>
      <c r="C686" s="13" t="inlineStr">
        <is>
          <t>Haraki Imóveis</t>
        </is>
      </c>
      <c r="D686" s="13" t="inlineStr"/>
      <c r="E686" s="13" t="inlineStr">
        <is>
          <t>Imóvel</t>
        </is>
      </c>
      <c r="F686" s="13" t="inlineStr">
        <is>
          <t>Rua Pioneiro Braz José Jorge, 954, Parque Hortência</t>
        </is>
      </c>
      <c r="G686" s="13" t="n">
        <v>70</v>
      </c>
      <c r="H686" s="13" t="n">
        <v>3</v>
      </c>
      <c r="I686" s="13" t="n">
        <v>1</v>
      </c>
      <c r="K686" s="13" t="n">
        <v>1</v>
      </c>
      <c r="L686" s="13" t="n">
        <v>340000</v>
      </c>
      <c r="M686" s="13" t="inlineStr">
        <is>
          <t>Ref: 00000460 | https://harakiimoveis.com.br/imovel/00000460/</t>
        </is>
      </c>
      <c r="N686" s="13" t="inlineStr">
        <is>
          <t>Novo</t>
        </is>
      </c>
      <c r="O686" s="13" t="inlineStr"/>
    </row>
    <row r="687">
      <c r="A687" s="13" t="inlineStr">
        <is>
          <t>2026-06-28</t>
        </is>
      </c>
      <c r="B687" s="13" t="inlineStr">
        <is>
          <t>harakiimoveis.com.br</t>
        </is>
      </c>
      <c r="C687" s="13" t="inlineStr">
        <is>
          <t>Haraki Imóveis</t>
        </is>
      </c>
      <c r="D687" s="13" t="inlineStr"/>
      <c r="E687" s="13" t="inlineStr">
        <is>
          <t>Imóvel</t>
        </is>
      </c>
      <c r="F687" s="13" t="inlineStr">
        <is>
          <t>Rua Peru, 751, Jardim Alvorada</t>
        </is>
      </c>
      <c r="G687" s="13" t="n">
        <v>450</v>
      </c>
      <c r="H687" s="13" t="inlineStr"/>
      <c r="I687" s="13" t="inlineStr"/>
      <c r="K687" s="13" t="inlineStr"/>
      <c r="L687" s="13" t="n">
        <v>350000</v>
      </c>
      <c r="M687" s="13" t="inlineStr">
        <is>
          <t>Ref: 00000355 | https://harakiimoveis.com.br/imovel/00000355/</t>
        </is>
      </c>
      <c r="N687" s="13" t="inlineStr">
        <is>
          <t>Novo</t>
        </is>
      </c>
      <c r="O687" s="13" t="inlineStr"/>
    </row>
    <row r="688">
      <c r="A688" s="13" t="inlineStr">
        <is>
          <t>2026-06-28</t>
        </is>
      </c>
      <c r="B688" s="13" t="inlineStr">
        <is>
          <t>harakiimoveis.com.br</t>
        </is>
      </c>
      <c r="C688" s="13" t="inlineStr">
        <is>
          <t>Haraki Imóveis</t>
        </is>
      </c>
      <c r="D688" s="13" t="inlineStr"/>
      <c r="E688" s="13" t="inlineStr">
        <is>
          <t>Imóvel</t>
        </is>
      </c>
      <c r="F688" s="13" t="inlineStr">
        <is>
          <t>Rua Pioneiro Salvador Kessa, 1205, Jardim Rebouças</t>
        </is>
      </c>
      <c r="G688" s="13" t="n">
        <v>600</v>
      </c>
      <c r="H688" s="13" t="inlineStr"/>
      <c r="I688" s="13" t="inlineStr"/>
      <c r="K688" s="13" t="inlineStr"/>
      <c r="L688" s="13" t="n">
        <v>350000</v>
      </c>
      <c r="M688" s="13" t="inlineStr">
        <is>
          <t>Ref: 00000391 | https://harakiimoveis.com.br/imovel/00000391/</t>
        </is>
      </c>
      <c r="N688" s="13" t="inlineStr">
        <is>
          <t>Novo</t>
        </is>
      </c>
      <c r="O688" s="13" t="inlineStr"/>
    </row>
    <row r="689">
      <c r="A689" s="13" t="inlineStr">
        <is>
          <t>2026-06-28</t>
        </is>
      </c>
      <c r="B689" s="13" t="inlineStr">
        <is>
          <t>harakiimoveis.com.br</t>
        </is>
      </c>
      <c r="C689" s="13" t="inlineStr">
        <is>
          <t>Haraki Imóveis</t>
        </is>
      </c>
      <c r="D689" s="13" t="inlineStr"/>
      <c r="E689" s="13" t="inlineStr">
        <is>
          <t>Imóvel</t>
        </is>
      </c>
      <c r="F689" s="13" t="inlineStr">
        <is>
          <t>Avenida Alziro Zarur, 893, Cidade Universitária</t>
        </is>
      </c>
      <c r="G689" s="13" t="n">
        <v>65.54000000000001</v>
      </c>
      <c r="H689" s="13" t="n">
        <v>3</v>
      </c>
      <c r="I689" s="13" t="n">
        <v>1</v>
      </c>
      <c r="K689" s="13" t="n">
        <v>1</v>
      </c>
      <c r="L689" s="13" t="n">
        <v>355000</v>
      </c>
      <c r="M689" s="13" t="inlineStr">
        <is>
          <t>Ref: 00000456 | Havana Residence | https://harakiimoveis.com.br/imovel/00000456/</t>
        </is>
      </c>
      <c r="N689" s="13" t="inlineStr">
        <is>
          <t>Novo</t>
        </is>
      </c>
      <c r="O689" s="13" t="inlineStr"/>
    </row>
    <row r="690">
      <c r="A690" s="13" t="inlineStr">
        <is>
          <t>2026-06-28</t>
        </is>
      </c>
      <c r="B690" s="13" t="inlineStr">
        <is>
          <t>harakiimoveis.com.br</t>
        </is>
      </c>
      <c r="C690" s="13" t="inlineStr">
        <is>
          <t>Haraki Imóveis</t>
        </is>
      </c>
      <c r="D690" s="13" t="inlineStr"/>
      <c r="E690" s="13" t="inlineStr">
        <is>
          <t>Imóvel</t>
        </is>
      </c>
      <c r="F690" s="13" t="inlineStr">
        <is>
          <t>Rua Limeira, 754, Jardim Campos</t>
        </is>
      </c>
      <c r="G690" s="13" t="n">
        <v>411.9</v>
      </c>
      <c r="H690" s="13" t="inlineStr"/>
      <c r="I690" s="13" t="inlineStr"/>
      <c r="K690" s="13" t="inlineStr"/>
      <c r="L690" s="13" t="n">
        <v>360000</v>
      </c>
      <c r="M690" s="13" t="inlineStr">
        <is>
          <t>Ref: 00000372 | https://harakiimoveis.com.br/imovel/00000372/</t>
        </is>
      </c>
      <c r="N690" s="13" t="inlineStr">
        <is>
          <t>Novo</t>
        </is>
      </c>
      <c r="O690" s="13" t="inlineStr"/>
    </row>
    <row r="691">
      <c r="A691" s="13" t="inlineStr">
        <is>
          <t>2026-06-28</t>
        </is>
      </c>
      <c r="B691" s="13" t="inlineStr">
        <is>
          <t>harakiimoveis.com.br</t>
        </is>
      </c>
      <c r="C691" s="13" t="inlineStr">
        <is>
          <t>Haraki Imóveis</t>
        </is>
      </c>
      <c r="D691" s="13" t="inlineStr"/>
      <c r="E691" s="13" t="inlineStr">
        <is>
          <t>Imóvel</t>
        </is>
      </c>
      <c r="F691" s="13" t="inlineStr">
        <is>
          <t>Rua Hawai, 580, Vila Morangueira</t>
        </is>
      </c>
      <c r="G691" s="13" t="n">
        <v>360</v>
      </c>
      <c r="H691" s="13" t="inlineStr"/>
      <c r="I691" s="13" t="inlineStr"/>
      <c r="K691" s="13" t="inlineStr"/>
      <c r="L691" s="13" t="n">
        <v>380000</v>
      </c>
      <c r="M691" s="13" t="inlineStr">
        <is>
          <t>Ref: 00000006 | Acacias | https://harakiimoveis.com.br/imovel/00000006/</t>
        </is>
      </c>
      <c r="N691" s="13" t="inlineStr">
        <is>
          <t>Novo</t>
        </is>
      </c>
      <c r="O691" s="13" t="inlineStr"/>
    </row>
    <row r="692">
      <c r="A692" s="13" t="inlineStr">
        <is>
          <t>2026-06-28</t>
        </is>
      </c>
      <c r="B692" s="13" t="inlineStr">
        <is>
          <t>harakiimoveis.com.br</t>
        </is>
      </c>
      <c r="C692" s="13" t="inlineStr">
        <is>
          <t>Haraki Imóveis</t>
        </is>
      </c>
      <c r="D692" s="13" t="inlineStr"/>
      <c r="E692" s="13" t="inlineStr">
        <is>
          <t>Imóvel</t>
        </is>
      </c>
      <c r="F692" s="13" t="inlineStr">
        <is>
          <t>Rua Ana Coronado Marquioto, 195, Jardim Paulista III</t>
        </is>
      </c>
      <c r="G692" s="13" t="n">
        <v>115</v>
      </c>
      <c r="H692" s="13" t="n">
        <v>1</v>
      </c>
      <c r="I692" s="13" t="n">
        <v>3</v>
      </c>
      <c r="K692" s="13" t="n">
        <v>2</v>
      </c>
      <c r="L692" s="13" t="n">
        <v>380000</v>
      </c>
      <c r="M692" s="13" t="inlineStr">
        <is>
          <t>Ref: 00000148 | https://harakiimoveis.com.br/imovel/00000148/</t>
        </is>
      </c>
      <c r="N692" s="13" t="inlineStr">
        <is>
          <t>Novo</t>
        </is>
      </c>
      <c r="O692" s="13" t="inlineStr"/>
    </row>
    <row r="693">
      <c r="A693" s="13" t="inlineStr">
        <is>
          <t>2026-06-28</t>
        </is>
      </c>
      <c r="B693" s="13" t="inlineStr">
        <is>
          <t>harakiimoveis.com.br</t>
        </is>
      </c>
      <c r="C693" s="13" t="inlineStr">
        <is>
          <t>Haraki Imóveis</t>
        </is>
      </c>
      <c r="D693" s="13" t="inlineStr"/>
      <c r="E693" s="13" t="inlineStr">
        <is>
          <t>Imóvel</t>
        </is>
      </c>
      <c r="F693" s="13" t="inlineStr">
        <is>
          <t>Rua Maria Garcia de Souza, 329, Jardim Araucária</t>
        </is>
      </c>
      <c r="G693" s="13" t="n">
        <v>104</v>
      </c>
      <c r="H693" s="13" t="n">
        <v>1</v>
      </c>
      <c r="I693" s="13" t="n">
        <v>2</v>
      </c>
      <c r="K693" s="13" t="n">
        <v>2</v>
      </c>
      <c r="L693" s="13" t="n">
        <v>380000</v>
      </c>
      <c r="M693" s="13" t="inlineStr">
        <is>
          <t>Ref: 00000164 | https://harakiimoveis.com.br/imovel/00000164/</t>
        </is>
      </c>
      <c r="N693" s="13" t="inlineStr">
        <is>
          <t>Novo</t>
        </is>
      </c>
      <c r="O693" s="13" t="inlineStr"/>
    </row>
    <row r="694">
      <c r="A694" s="13" t="inlineStr">
        <is>
          <t>2026-06-28</t>
        </is>
      </c>
      <c r="B694" s="13" t="inlineStr">
        <is>
          <t>harakiimoveis.com.br</t>
        </is>
      </c>
      <c r="C694" s="13" t="inlineStr">
        <is>
          <t>Haraki Imóveis</t>
        </is>
      </c>
      <c r="D694" s="13" t="inlineStr"/>
      <c r="E694" s="13" t="inlineStr">
        <is>
          <t>Imóvel</t>
        </is>
      </c>
      <c r="F694" s="13" t="inlineStr">
        <is>
          <t>Rua Pioneiro Antônio Franco de Morai, Jardim Rebouças</t>
        </is>
      </c>
      <c r="G694" s="13" t="n">
        <v>382.93</v>
      </c>
      <c r="H694" s="13" t="inlineStr"/>
      <c r="I694" s="13" t="inlineStr"/>
      <c r="K694" s="13" t="inlineStr"/>
      <c r="L694" s="13" t="n">
        <v>380000</v>
      </c>
      <c r="M694" s="13" t="inlineStr">
        <is>
          <t>Ref: 00000398 | https://harakiimoveis.com.br/imovel/00000398/</t>
        </is>
      </c>
      <c r="N694" s="13" t="inlineStr">
        <is>
          <t>Novo</t>
        </is>
      </c>
      <c r="O694" s="13" t="inlineStr"/>
    </row>
    <row r="695">
      <c r="A695" s="13" t="inlineStr">
        <is>
          <t>2026-06-28</t>
        </is>
      </c>
      <c r="B695" s="13" t="inlineStr">
        <is>
          <t>harakiimoveis.com.br</t>
        </is>
      </c>
      <c r="C695" s="13" t="inlineStr">
        <is>
          <t>Haraki Imóveis</t>
        </is>
      </c>
      <c r="D695" s="13" t="inlineStr"/>
      <c r="E695" s="13" t="inlineStr">
        <is>
          <t>Imóvel</t>
        </is>
      </c>
      <c r="F695" s="13" t="inlineStr">
        <is>
          <t>Rua Safira, Jardim Real</t>
        </is>
      </c>
      <c r="G695" s="13" t="n">
        <v>390</v>
      </c>
      <c r="H695" s="13" t="inlineStr"/>
      <c r="I695" s="13" t="inlineStr"/>
      <c r="K695" s="13" t="inlineStr"/>
      <c r="L695" s="13" t="n">
        <v>385000</v>
      </c>
      <c r="M695" s="13" t="inlineStr">
        <is>
          <t>Ref: 00000156 | https://harakiimoveis.com.br/imovel/00000156/</t>
        </is>
      </c>
      <c r="N695" s="13" t="inlineStr">
        <is>
          <t>Novo</t>
        </is>
      </c>
      <c r="O695" s="13" t="inlineStr"/>
    </row>
    <row r="696">
      <c r="A696" s="13" t="inlineStr">
        <is>
          <t>2026-06-28</t>
        </is>
      </c>
      <c r="B696" s="13" t="inlineStr">
        <is>
          <t>harakiimoveis.com.br</t>
        </is>
      </c>
      <c r="C696" s="13" t="inlineStr">
        <is>
          <t>Haraki Imóveis</t>
        </is>
      </c>
      <c r="D696" s="13" t="inlineStr"/>
      <c r="E696" s="13" t="inlineStr">
        <is>
          <t>Imóvel</t>
        </is>
      </c>
      <c r="F696" s="13" t="inlineStr">
        <is>
          <t>Rua Francisco Cantos, 78, Res Bim</t>
        </is>
      </c>
      <c r="G696" s="13" t="n">
        <v>78</v>
      </c>
      <c r="H696" s="13" t="n">
        <v>2</v>
      </c>
      <c r="I696" s="13" t="n">
        <v>1</v>
      </c>
      <c r="K696" s="13" t="n">
        <v>2</v>
      </c>
      <c r="L696" s="13" t="n">
        <v>385000</v>
      </c>
      <c r="M696" s="13" t="inlineStr">
        <is>
          <t>Ref: 00000435 | https://harakiimoveis.com.br/imovel/00000435/</t>
        </is>
      </c>
      <c r="N696" s="13" t="inlineStr">
        <is>
          <t>Novo</t>
        </is>
      </c>
      <c r="O696" s="13" t="inlineStr"/>
    </row>
    <row r="697">
      <c r="A697" s="13" t="inlineStr">
        <is>
          <t>2026-06-28</t>
        </is>
      </c>
      <c r="B697" s="13" t="inlineStr">
        <is>
          <t>harakiimoveis.com.br</t>
        </is>
      </c>
      <c r="C697" s="13" t="inlineStr">
        <is>
          <t>Haraki Imóveis</t>
        </is>
      </c>
      <c r="D697" s="13" t="inlineStr"/>
      <c r="E697" s="13" t="inlineStr">
        <is>
          <t>Imóvel</t>
        </is>
      </c>
      <c r="F697" s="13" t="inlineStr">
        <is>
          <t>Rua Vereador Paulo de Barros Campelo, 83, Jardim Colina Verde</t>
        </is>
      </c>
      <c r="G697" s="13" t="n">
        <v>77</v>
      </c>
      <c r="H697" s="13" t="n">
        <v>1</v>
      </c>
      <c r="I697" s="13" t="n">
        <v>2</v>
      </c>
      <c r="K697" s="13" t="n">
        <v>2</v>
      </c>
      <c r="L697" s="13" t="n">
        <v>390000</v>
      </c>
      <c r="M697" s="13" t="inlineStr">
        <is>
          <t>Ref: 00000379 | https://harakiimoveis.com.br/imovel/00000379/</t>
        </is>
      </c>
      <c r="N697" s="13" t="inlineStr">
        <is>
          <t>Novo</t>
        </is>
      </c>
      <c r="O697" s="13" t="inlineStr"/>
    </row>
    <row r="698">
      <c r="A698" s="13" t="inlineStr">
        <is>
          <t>2026-06-28</t>
        </is>
      </c>
      <c r="B698" s="13" t="inlineStr">
        <is>
          <t>harakiimoveis.com.br</t>
        </is>
      </c>
      <c r="C698" s="13" t="inlineStr">
        <is>
          <t>Haraki Imóveis</t>
        </is>
      </c>
      <c r="D698" s="13" t="inlineStr"/>
      <c r="E698" s="13" t="inlineStr">
        <is>
          <t>Imóvel</t>
        </is>
      </c>
      <c r="F698" s="13" t="inlineStr">
        <is>
          <t>Rua Pioneiro Antonio Bernardes, 1551, Jardim Dias I</t>
        </is>
      </c>
      <c r="G698" s="13" t="n">
        <v>99</v>
      </c>
      <c r="H698" s="13" t="n">
        <v>1</v>
      </c>
      <c r="I698" s="13" t="n">
        <v>2</v>
      </c>
      <c r="K698" s="13" t="n">
        <v>2</v>
      </c>
      <c r="L698" s="13" t="n">
        <v>399000</v>
      </c>
      <c r="M698" s="13" t="inlineStr">
        <is>
          <t>Ref: 00000258 | https://harakiimoveis.com.br/imovel/00000258/</t>
        </is>
      </c>
      <c r="N698" s="13" t="inlineStr">
        <is>
          <t>Novo</t>
        </is>
      </c>
      <c r="O698" s="13" t="inlineStr"/>
    </row>
    <row r="699">
      <c r="A699" s="13" t="inlineStr">
        <is>
          <t>2026-06-28</t>
        </is>
      </c>
      <c r="B699" s="13" t="inlineStr">
        <is>
          <t>harakiimoveis.com.br</t>
        </is>
      </c>
      <c r="C699" s="13" t="inlineStr">
        <is>
          <t>Haraki Imóveis</t>
        </is>
      </c>
      <c r="D699" s="13" t="inlineStr"/>
      <c r="E699" s="13" t="inlineStr">
        <is>
          <t>Imóvel</t>
        </is>
      </c>
      <c r="F699" s="13" t="inlineStr">
        <is>
          <t>Rua Rui Barbosa, 1262, Zona 07</t>
        </is>
      </c>
      <c r="G699" s="13" t="n">
        <v>59.4</v>
      </c>
      <c r="H699" s="13" t="n"/>
      <c r="I699" s="13" t="n">
        <v>1</v>
      </c>
      <c r="K699" s="13" t="n">
        <v>2</v>
      </c>
      <c r="L699" s="13" t="n">
        <v>400000</v>
      </c>
      <c r="M699" s="13" t="inlineStr">
        <is>
          <t>Ref: 00000472 | Perseverance Residencial | https://harakiimoveis.com.br/imovel/00000472/</t>
        </is>
      </c>
      <c r="N699" s="13" t="inlineStr">
        <is>
          <t>Novo</t>
        </is>
      </c>
      <c r="O699" s="13" t="inlineStr"/>
    </row>
    <row r="700">
      <c r="A700" s="13" t="inlineStr">
        <is>
          <t>2026-06-28</t>
        </is>
      </c>
      <c r="B700" s="13" t="inlineStr">
        <is>
          <t>harakiimoveis.com.br</t>
        </is>
      </c>
      <c r="C700" s="13" t="inlineStr">
        <is>
          <t>Haraki Imóveis</t>
        </is>
      </c>
      <c r="D700" s="13" t="inlineStr"/>
      <c r="E700" s="13" t="inlineStr">
        <is>
          <t>Imóvel</t>
        </is>
      </c>
      <c r="F700" s="13" t="inlineStr">
        <is>
          <t>Rua Olímpico, 637, Jardim Olímpico</t>
        </is>
      </c>
      <c r="G700" s="13" t="n">
        <v>538.3</v>
      </c>
      <c r="H700" s="13" t="inlineStr"/>
      <c r="I700" s="13" t="inlineStr"/>
      <c r="K700" s="13" t="inlineStr"/>
      <c r="L700" s="13" t="n">
        <v>420000</v>
      </c>
      <c r="M700" s="13" t="inlineStr">
        <is>
          <t>Ref: 00000326 | https://harakiimoveis.com.br/imovel/00000326/</t>
        </is>
      </c>
      <c r="N700" s="13" t="inlineStr">
        <is>
          <t>Novo</t>
        </is>
      </c>
      <c r="O700" s="13" t="inlineStr"/>
    </row>
    <row r="701">
      <c r="A701" s="13" t="inlineStr">
        <is>
          <t>2026-06-28</t>
        </is>
      </c>
      <c r="B701" s="13" t="inlineStr">
        <is>
          <t>harakiimoveis.com.br</t>
        </is>
      </c>
      <c r="C701" s="13" t="inlineStr">
        <is>
          <t>Haraki Imóveis</t>
        </is>
      </c>
      <c r="D701" s="13" t="inlineStr"/>
      <c r="E701" s="13" t="inlineStr">
        <is>
          <t>Imóvel</t>
        </is>
      </c>
      <c r="F701" s="13" t="inlineStr">
        <is>
          <t>Rua Pioneiro Tertulino Ribeiro dos Santo, Conjunto Res Cidade Alta</t>
        </is>
      </c>
      <c r="G701" s="13" t="n">
        <v>89</v>
      </c>
      <c r="H701" s="13" t="n">
        <v>1</v>
      </c>
      <c r="I701" s="13" t="n">
        <v>2</v>
      </c>
      <c r="K701" s="13" t="n">
        <v>2</v>
      </c>
      <c r="L701" s="13" t="n">
        <v>420000</v>
      </c>
      <c r="M701" s="13" t="inlineStr">
        <is>
          <t>Ref: 00000416 | https://harakiimoveis.com.br/imovel/00000416/</t>
        </is>
      </c>
      <c r="N701" s="13" t="inlineStr">
        <is>
          <t>Novo</t>
        </is>
      </c>
      <c r="O701" s="13" t="inlineStr"/>
    </row>
    <row r="702">
      <c r="A702" s="13" t="inlineStr">
        <is>
          <t>2026-06-28</t>
        </is>
      </c>
      <c r="B702" s="13" t="inlineStr">
        <is>
          <t>harakiimoveis.com.br</t>
        </is>
      </c>
      <c r="C702" s="13" t="inlineStr">
        <is>
          <t>Haraki Imóveis</t>
        </is>
      </c>
      <c r="D702" s="13" t="inlineStr"/>
      <c r="E702" s="13" t="inlineStr">
        <is>
          <t>Imóvel</t>
        </is>
      </c>
      <c r="F702" s="13" t="inlineStr">
        <is>
          <t>Rua Nilo Polo Ferrato, 123, Jardim Paris</t>
        </is>
      </c>
      <c r="G702" s="13" t="n">
        <v>106</v>
      </c>
      <c r="H702" s="13" t="n">
        <v>1</v>
      </c>
      <c r="I702" s="13" t="n">
        <v>2</v>
      </c>
      <c r="K702" s="13" t="n">
        <v>2</v>
      </c>
      <c r="L702" s="13" t="n">
        <v>420000</v>
      </c>
      <c r="M702" s="13" t="inlineStr">
        <is>
          <t>Ref: 00000469 | https://harakiimoveis.com.br/imovel/00000469/</t>
        </is>
      </c>
      <c r="N702" s="13" t="inlineStr">
        <is>
          <t>Novo</t>
        </is>
      </c>
      <c r="O702" s="13" t="inlineStr"/>
    </row>
    <row r="703">
      <c r="A703" s="13" t="inlineStr">
        <is>
          <t>2026-06-28</t>
        </is>
      </c>
      <c r="B703" s="13" t="inlineStr">
        <is>
          <t>harakiimoveis.com.br</t>
        </is>
      </c>
      <c r="C703" s="13" t="inlineStr">
        <is>
          <t>Haraki Imóveis</t>
        </is>
      </c>
      <c r="D703" s="13" t="inlineStr"/>
      <c r="E703" s="13" t="inlineStr">
        <is>
          <t>Imóvel</t>
        </is>
      </c>
      <c r="F703" s="13" t="inlineStr">
        <is>
          <t>Rua 28 de Junho, 1086, B, Jardim Tupinamba</t>
        </is>
      </c>
      <c r="G703" s="13" t="n">
        <v>268.48</v>
      </c>
      <c r="H703" s="13" t="inlineStr"/>
      <c r="I703" s="13" t="inlineStr"/>
      <c r="K703" s="13" t="inlineStr"/>
      <c r="L703" s="13" t="n">
        <v>430000</v>
      </c>
      <c r="M703" s="13" t="inlineStr">
        <is>
          <t>Ref: 00000169 | https://harakiimoveis.com.br/imovel/00000169/</t>
        </is>
      </c>
      <c r="N703" s="13" t="inlineStr">
        <is>
          <t>Novo</t>
        </is>
      </c>
      <c r="O703" s="13" t="inlineStr"/>
    </row>
    <row r="704">
      <c r="A704" s="13" t="inlineStr">
        <is>
          <t>2026-06-28</t>
        </is>
      </c>
      <c r="B704" s="13" t="inlineStr">
        <is>
          <t>harakiimoveis.com.br</t>
        </is>
      </c>
      <c r="C704" s="13" t="inlineStr">
        <is>
          <t>Haraki Imóveis</t>
        </is>
      </c>
      <c r="D704" s="13" t="inlineStr"/>
      <c r="E704" s="13" t="inlineStr">
        <is>
          <t>Imóvel</t>
        </is>
      </c>
      <c r="F704" s="13" t="inlineStr">
        <is>
          <t>Rua Prefeito Sadao Inaoka, 484, Parque Industrial</t>
        </is>
      </c>
      <c r="G704" s="13" t="n">
        <v>400.21</v>
      </c>
      <c r="H704" s="13" t="inlineStr"/>
      <c r="I704" s="13" t="inlineStr"/>
      <c r="K704" s="13" t="inlineStr"/>
      <c r="L704" s="13" t="n">
        <v>430000</v>
      </c>
      <c r="M704" s="13" t="inlineStr">
        <is>
          <t>Ref: 00000377 | https://harakiimoveis.com.br/imovel/00000377/</t>
        </is>
      </c>
      <c r="N704" s="13" t="inlineStr">
        <is>
          <t>Novo</t>
        </is>
      </c>
      <c r="O704" s="13" t="inlineStr"/>
    </row>
    <row r="705">
      <c r="A705" s="13" t="inlineStr">
        <is>
          <t>2026-06-28</t>
        </is>
      </c>
      <c r="B705" s="13" t="inlineStr">
        <is>
          <t>harakiimoveis.com.br</t>
        </is>
      </c>
      <c r="C705" s="13" t="inlineStr">
        <is>
          <t>Haraki Imóveis</t>
        </is>
      </c>
      <c r="D705" s="13" t="inlineStr"/>
      <c r="E705" s="13" t="inlineStr">
        <is>
          <t>Imóvel</t>
        </is>
      </c>
      <c r="F705" s="13" t="inlineStr">
        <is>
          <t>Rua Galáxia, 1574, Jardim Universo</t>
        </is>
      </c>
      <c r="G705" s="13" t="n">
        <v>73</v>
      </c>
      <c r="H705" s="13" t="n">
        <v>1</v>
      </c>
      <c r="I705" s="13" t="n">
        <v>2</v>
      </c>
      <c r="K705" s="13" t="n">
        <v>2</v>
      </c>
      <c r="L705" s="13" t="n">
        <v>440000</v>
      </c>
      <c r="M705" s="13" t="inlineStr">
        <is>
          <t>Ref: 00000202 | https://harakiimoveis.com.br/imovel/00000202/</t>
        </is>
      </c>
      <c r="N705" s="13" t="inlineStr">
        <is>
          <t>Novo</t>
        </is>
      </c>
      <c r="O705" s="13" t="inlineStr"/>
    </row>
    <row r="706">
      <c r="A706" s="13" t="inlineStr">
        <is>
          <t>2026-06-28</t>
        </is>
      </c>
      <c r="B706" s="13" t="inlineStr">
        <is>
          <t>harakiimoveis.com.br</t>
        </is>
      </c>
      <c r="C706" s="13" t="inlineStr">
        <is>
          <t>Haraki Imóveis</t>
        </is>
      </c>
      <c r="D706" s="13" t="inlineStr"/>
      <c r="E706" s="13" t="inlineStr">
        <is>
          <t>Imóvel</t>
        </is>
      </c>
      <c r="F706" s="13" t="inlineStr">
        <is>
          <t>Rua Rio Barreiro, 1346, Parque Res Tuiuti</t>
        </is>
      </c>
      <c r="G706" s="13" t="n">
        <v>85.87</v>
      </c>
      <c r="H706" s="13" t="n">
        <v>1</v>
      </c>
      <c r="I706" s="13" t="n">
        <v>2</v>
      </c>
      <c r="K706" s="13" t="n">
        <v>2</v>
      </c>
      <c r="L706" s="13" t="n">
        <v>445000</v>
      </c>
      <c r="M706" s="13" t="inlineStr">
        <is>
          <t>Ref: 00000514 | https://harakiimoveis.com.br/imovel/00000514/</t>
        </is>
      </c>
      <c r="N706" s="13" t="inlineStr">
        <is>
          <t>Novo</t>
        </is>
      </c>
      <c r="O706" s="13" t="inlineStr"/>
    </row>
    <row r="707">
      <c r="A707" s="13" t="inlineStr">
        <is>
          <t>2026-06-28</t>
        </is>
      </c>
      <c r="B707" s="13" t="inlineStr">
        <is>
          <t>harakiimoveis.com.br</t>
        </is>
      </c>
      <c r="C707" s="13" t="inlineStr">
        <is>
          <t>Haraki Imóveis</t>
        </is>
      </c>
      <c r="D707" s="13" t="inlineStr"/>
      <c r="E707" s="13" t="inlineStr">
        <is>
          <t>Imóvel</t>
        </is>
      </c>
      <c r="F707" s="13" t="inlineStr">
        <is>
          <t>Rua Zulmira Barbieri Martins, Jardim Barcelona</t>
        </is>
      </c>
      <c r="G707" s="13" t="n">
        <v>687</v>
      </c>
      <c r="H707" s="13" t="inlineStr"/>
      <c r="I707" s="13" t="inlineStr"/>
      <c r="K707" s="13" t="inlineStr"/>
      <c r="L707" s="13" t="n">
        <v>448000</v>
      </c>
      <c r="M707" s="13" t="inlineStr">
        <is>
          <t>Ref: 00000018 | https://harakiimoveis.com.br/imovel/00000018/</t>
        </is>
      </c>
      <c r="N707" s="13" t="inlineStr">
        <is>
          <t>Novo</t>
        </is>
      </c>
      <c r="O707" s="13" t="inlineStr"/>
    </row>
    <row r="708">
      <c r="A708" s="13" t="inlineStr">
        <is>
          <t>2026-06-28</t>
        </is>
      </c>
      <c r="B708" s="13" t="inlineStr">
        <is>
          <t>harakiimoveis.com.br</t>
        </is>
      </c>
      <c r="C708" s="13" t="inlineStr">
        <is>
          <t>Haraki Imóveis</t>
        </is>
      </c>
      <c r="D708" s="13" t="inlineStr"/>
      <c r="E708" s="13" t="inlineStr">
        <is>
          <t>Imóvel</t>
        </is>
      </c>
      <c r="F708" s="13" t="inlineStr">
        <is>
          <t>Rua Jair do Couto Costa, 1457, Recanto dos Magnatas</t>
        </is>
      </c>
      <c r="G708" s="13" t="n">
        <v>412</v>
      </c>
      <c r="H708" s="13" t="inlineStr"/>
      <c r="I708" s="13" t="inlineStr"/>
      <c r="K708" s="13" t="inlineStr"/>
      <c r="L708" s="13" t="n">
        <v>450000</v>
      </c>
      <c r="M708" s="13" t="inlineStr">
        <is>
          <t>Ref: 00000105 | https://harakiimoveis.com.br/imovel/00000105/</t>
        </is>
      </c>
      <c r="N708" s="13" t="inlineStr">
        <is>
          <t>Novo</t>
        </is>
      </c>
      <c r="O708" s="13" t="inlineStr"/>
    </row>
    <row r="709">
      <c r="A709" s="13" t="inlineStr">
        <is>
          <t>2026-06-28</t>
        </is>
      </c>
      <c r="B709" s="13" t="inlineStr">
        <is>
          <t>harakiimoveis.com.br</t>
        </is>
      </c>
      <c r="C709" s="13" t="inlineStr">
        <is>
          <t>Haraki Imóveis</t>
        </is>
      </c>
      <c r="D709" s="13" t="inlineStr"/>
      <c r="E709" s="13" t="inlineStr">
        <is>
          <t>Imóvel</t>
        </is>
      </c>
      <c r="F709" s="13" t="inlineStr">
        <is>
          <t>Rua Pioneiro Santo Aliberti, 118, Bom Jardim</t>
        </is>
      </c>
      <c r="G709" s="13" t="n">
        <v>300</v>
      </c>
      <c r="H709" s="13" t="inlineStr"/>
      <c r="I709" s="13" t="inlineStr"/>
      <c r="K709" s="13" t="inlineStr"/>
      <c r="L709" s="13" t="n">
        <v>450000</v>
      </c>
      <c r="M709" s="13" t="inlineStr">
        <is>
          <t>Ref: 00000222 | https://harakiimoveis.com.br/imovel/00000222/</t>
        </is>
      </c>
      <c r="N709" s="13" t="inlineStr">
        <is>
          <t>Novo</t>
        </is>
      </c>
      <c r="O709" s="13" t="inlineStr"/>
    </row>
    <row r="710">
      <c r="A710" s="13" t="inlineStr">
        <is>
          <t>2026-06-28</t>
        </is>
      </c>
      <c r="B710" s="13" t="inlineStr">
        <is>
          <t>harakiimoveis.com.br</t>
        </is>
      </c>
      <c r="C710" s="13" t="inlineStr">
        <is>
          <t>Haraki Imóveis</t>
        </is>
      </c>
      <c r="D710" s="13" t="inlineStr"/>
      <c r="E710" s="13" t="inlineStr">
        <is>
          <t>Imóvel</t>
        </is>
      </c>
      <c r="F710" s="13" t="inlineStr">
        <is>
          <t>Rua Rodolfo Cremm, 19938, Conjunto Hab João de Barro Thais</t>
        </is>
      </c>
      <c r="G710" s="13" t="n">
        <v>392.63</v>
      </c>
      <c r="H710" s="13" t="inlineStr"/>
      <c r="I710" s="13" t="inlineStr"/>
      <c r="K710" s="13" t="inlineStr"/>
      <c r="L710" s="13" t="n">
        <v>450000</v>
      </c>
      <c r="M710" s="13" t="inlineStr">
        <is>
          <t>Ref: 00000439 | https://harakiimoveis.com.br/imovel/00000439/</t>
        </is>
      </c>
      <c r="N710" s="13" t="inlineStr">
        <is>
          <t>Novo</t>
        </is>
      </c>
      <c r="O710" s="13" t="inlineStr"/>
    </row>
    <row r="711">
      <c r="A711" s="13" t="inlineStr">
        <is>
          <t>2026-06-28</t>
        </is>
      </c>
      <c r="B711" s="13" t="inlineStr">
        <is>
          <t>harakiimoveis.com.br</t>
        </is>
      </c>
      <c r="C711" s="13" t="inlineStr">
        <is>
          <t>Haraki Imóveis</t>
        </is>
      </c>
      <c r="D711" s="13" t="inlineStr"/>
      <c r="E711" s="13" t="inlineStr">
        <is>
          <t>Imóvel</t>
        </is>
      </c>
      <c r="F711" s="13" t="inlineStr">
        <is>
          <t>Rua Galáxia, 1574, Jardim Universo</t>
        </is>
      </c>
      <c r="G711" s="13" t="n">
        <v>77</v>
      </c>
      <c r="H711" s="13" t="n">
        <v>1</v>
      </c>
      <c r="I711" s="13" t="n">
        <v>2</v>
      </c>
      <c r="K711" s="13" t="n">
        <v>2</v>
      </c>
      <c r="L711" s="13" t="n">
        <v>460000</v>
      </c>
      <c r="M711" s="13" t="inlineStr">
        <is>
          <t>Ref: 00000206 | https://harakiimoveis.com.br/imovel/00000206/</t>
        </is>
      </c>
      <c r="N711" s="13" t="inlineStr">
        <is>
          <t>Novo</t>
        </is>
      </c>
      <c r="O711" s="13" t="inlineStr"/>
    </row>
    <row r="712">
      <c r="A712" s="13" t="inlineStr">
        <is>
          <t>2026-06-28</t>
        </is>
      </c>
      <c r="B712" s="13" t="inlineStr">
        <is>
          <t>harakiimoveis.com.br</t>
        </is>
      </c>
      <c r="C712" s="13" t="inlineStr">
        <is>
          <t>Haraki Imóveis</t>
        </is>
      </c>
      <c r="D712" s="13" t="inlineStr"/>
      <c r="E712" s="13" t="inlineStr">
        <is>
          <t>Imóvel</t>
        </is>
      </c>
      <c r="F712" s="13" t="inlineStr">
        <is>
          <t>Rua Antônia Capoti Fernandes, 675, Parque Tarumã</t>
        </is>
      </c>
      <c r="G712" s="13" t="n">
        <v>99</v>
      </c>
      <c r="H712" s="13" t="n">
        <v>1</v>
      </c>
      <c r="I712" s="13" t="n">
        <v>2</v>
      </c>
      <c r="K712" s="13" t="n">
        <v>2</v>
      </c>
      <c r="L712" s="13" t="n">
        <v>460000</v>
      </c>
      <c r="M712" s="13" t="inlineStr">
        <is>
          <t>Ref: 00000485 | https://harakiimoveis.com.br/imovel/00000485/</t>
        </is>
      </c>
      <c r="N712" s="13" t="inlineStr">
        <is>
          <t>Novo</t>
        </is>
      </c>
      <c r="O712" s="13" t="inlineStr"/>
    </row>
    <row r="713">
      <c r="A713" s="13" t="inlineStr">
        <is>
          <t>2026-06-28</t>
        </is>
      </c>
      <c r="B713" s="13" t="inlineStr">
        <is>
          <t>harakiimoveis.com.br</t>
        </is>
      </c>
      <c r="C713" s="13" t="inlineStr">
        <is>
          <t>Haraki Imóveis</t>
        </is>
      </c>
      <c r="D713" s="13" t="inlineStr"/>
      <c r="E713" s="13" t="inlineStr">
        <is>
          <t>Imóvel</t>
        </is>
      </c>
      <c r="F713" s="13" t="inlineStr">
        <is>
          <t>Rua Benjamin Constant, 383, Zona 07</t>
        </is>
      </c>
      <c r="G713" s="13" t="n">
        <v>65</v>
      </c>
      <c r="H713" s="13" t="n">
        <v>1</v>
      </c>
      <c r="I713" s="13" t="n">
        <v>2</v>
      </c>
      <c r="K713" s="13" t="n">
        <v>1</v>
      </c>
      <c r="L713" s="13" t="n">
        <v>470000</v>
      </c>
      <c r="M713" s="13" t="inlineStr">
        <is>
          <t>Ref: 00000071 | Thomaz Beraldi | https://harakiimoveis.com.br/imovel/00000071/</t>
        </is>
      </c>
      <c r="N713" s="13" t="inlineStr">
        <is>
          <t>Novo</t>
        </is>
      </c>
      <c r="O713" s="13" t="inlineStr"/>
    </row>
    <row r="714">
      <c r="A714" s="13" t="inlineStr">
        <is>
          <t>2026-06-28</t>
        </is>
      </c>
      <c r="B714" s="13" t="inlineStr">
        <is>
          <t>harakiimoveis.com.br</t>
        </is>
      </c>
      <c r="C714" s="13" t="inlineStr">
        <is>
          <t>Haraki Imóveis</t>
        </is>
      </c>
      <c r="D714" s="13" t="inlineStr"/>
      <c r="E714" s="13" t="inlineStr">
        <is>
          <t>Imóvel</t>
        </is>
      </c>
      <c r="F714" s="13" t="inlineStr">
        <is>
          <t>Rua Pioneiro Mário Marangoni, 2, Jardim Universo</t>
        </is>
      </c>
      <c r="G714" s="13" t="n">
        <v>156</v>
      </c>
      <c r="H714" s="13" t="n">
        <v>1</v>
      </c>
      <c r="I714" s="13" t="n">
        <v>4</v>
      </c>
      <c r="K714" s="13" t="n">
        <v>2</v>
      </c>
      <c r="L714" s="13" t="n">
        <v>475000</v>
      </c>
      <c r="M714" s="13" t="inlineStr">
        <is>
          <t>Ref: 00000241 | https://harakiimoveis.com.br/imovel/00000241/</t>
        </is>
      </c>
      <c r="N714" s="13" t="inlineStr">
        <is>
          <t>Novo</t>
        </is>
      </c>
      <c r="O714" s="13" t="inlineStr"/>
    </row>
    <row r="715">
      <c r="A715" s="13" t="inlineStr">
        <is>
          <t>2026-06-28</t>
        </is>
      </c>
      <c r="B715" s="13" t="inlineStr">
        <is>
          <t>harakiimoveis.com.br</t>
        </is>
      </c>
      <c r="C715" s="13" t="inlineStr">
        <is>
          <t>Haraki Imóveis</t>
        </is>
      </c>
      <c r="D715" s="13" t="inlineStr"/>
      <c r="E715" s="13" t="inlineStr">
        <is>
          <t>Imóvel</t>
        </is>
      </c>
      <c r="F715" s="13" t="inlineStr">
        <is>
          <t>Rua Dinoh Hundzinski, Jardim Paris VI</t>
        </is>
      </c>
      <c r="G715" s="13" t="n">
        <v>100</v>
      </c>
      <c r="H715" s="13" t="n">
        <v>1</v>
      </c>
      <c r="I715" s="13" t="n">
        <v>2</v>
      </c>
      <c r="K715" s="13" t="n">
        <v>2</v>
      </c>
      <c r="L715" s="13" t="n">
        <v>480000</v>
      </c>
      <c r="M715" s="13" t="inlineStr">
        <is>
          <t>Ref: 00000039 | https://harakiimoveis.com.br/imovel/00000039/</t>
        </is>
      </c>
      <c r="N715" s="13" t="inlineStr">
        <is>
          <t>Novo</t>
        </is>
      </c>
      <c r="O715" s="13" t="inlineStr"/>
    </row>
    <row r="716">
      <c r="A716" s="13" t="inlineStr">
        <is>
          <t>2026-06-28</t>
        </is>
      </c>
      <c r="B716" s="13" t="inlineStr">
        <is>
          <t>harakiimoveis.com.br</t>
        </is>
      </c>
      <c r="C716" s="13" t="inlineStr">
        <is>
          <t>Haraki Imóveis</t>
        </is>
      </c>
      <c r="D716" s="13" t="inlineStr"/>
      <c r="E716" s="13" t="inlineStr">
        <is>
          <t>Imóvel</t>
        </is>
      </c>
      <c r="F716" s="13" t="inlineStr">
        <is>
          <t>Rua Campos Sales, 573, Zona 07</t>
        </is>
      </c>
      <c r="G716" s="13" t="n">
        <v>92</v>
      </c>
      <c r="H716" s="13" t="n">
        <v>1</v>
      </c>
      <c r="I716" s="13" t="n">
        <v>2</v>
      </c>
      <c r="K716" s="13" t="n">
        <v>1</v>
      </c>
      <c r="L716" s="13" t="n">
        <v>480000</v>
      </c>
      <c r="M716" s="13" t="inlineStr">
        <is>
          <t>Ref: 00000192 | Cora Coralina | https://harakiimoveis.com.br/imovel/00000192/</t>
        </is>
      </c>
      <c r="N716" s="13" t="inlineStr">
        <is>
          <t>Novo</t>
        </is>
      </c>
      <c r="O716" s="13" t="inlineStr"/>
    </row>
    <row r="717">
      <c r="A717" s="13" t="inlineStr">
        <is>
          <t>2026-06-28</t>
        </is>
      </c>
      <c r="B717" s="13" t="inlineStr">
        <is>
          <t>harakiimoveis.com.br</t>
        </is>
      </c>
      <c r="C717" s="13" t="inlineStr">
        <is>
          <t>Haraki Imóveis</t>
        </is>
      </c>
      <c r="D717" s="13" t="inlineStr"/>
      <c r="E717" s="13" t="inlineStr">
        <is>
          <t>Imóvel</t>
        </is>
      </c>
      <c r="F717" s="13" t="inlineStr">
        <is>
          <t>Rua Pioneiro Domênico Durso, 120, Jardim Montreal</t>
        </is>
      </c>
      <c r="G717" s="13" t="n">
        <v>121</v>
      </c>
      <c r="H717" s="13" t="n">
        <v>1</v>
      </c>
      <c r="I717" s="13" t="n">
        <v>3</v>
      </c>
      <c r="K717" s="13" t="n">
        <v>4</v>
      </c>
      <c r="L717" s="13" t="n">
        <v>490000</v>
      </c>
      <c r="M717" s="13" t="inlineStr">
        <is>
          <t>Ref: 00000049 | https://harakiimoveis.com.br/imovel/00000049/</t>
        </is>
      </c>
      <c r="N717" s="13" t="inlineStr">
        <is>
          <t>Novo</t>
        </is>
      </c>
      <c r="O717" s="13" t="inlineStr"/>
    </row>
    <row r="718">
      <c r="A718" s="13" t="inlineStr">
        <is>
          <t>2026-06-28</t>
        </is>
      </c>
      <c r="B718" s="13" t="inlineStr">
        <is>
          <t>harakiimoveis.com.br</t>
        </is>
      </c>
      <c r="C718" s="13" t="inlineStr">
        <is>
          <t>Haraki Imóveis</t>
        </is>
      </c>
      <c r="D718" s="13" t="inlineStr"/>
      <c r="E718" s="13" t="inlineStr">
        <is>
          <t>Imóvel</t>
        </is>
      </c>
      <c r="F718" s="13" t="inlineStr">
        <is>
          <t>Rua Pioneiro Dante Polletto, 374, Loteamento Sumaré</t>
        </is>
      </c>
      <c r="G718" s="13" t="n">
        <v>122</v>
      </c>
      <c r="H718" s="13" t="n">
        <v>1</v>
      </c>
      <c r="I718" s="13" t="n">
        <v>2</v>
      </c>
      <c r="K718" s="13" t="n">
        <v>3</v>
      </c>
      <c r="L718" s="13" t="n">
        <v>490000</v>
      </c>
      <c r="M718" s="13" t="inlineStr">
        <is>
          <t>Ref: 00000166 | https://harakiimoveis.com.br/imovel/00000166/</t>
        </is>
      </c>
      <c r="N718" s="13" t="inlineStr">
        <is>
          <t>Novo</t>
        </is>
      </c>
      <c r="O718" s="13" t="inlineStr"/>
    </row>
    <row r="719">
      <c r="A719" s="13" t="inlineStr">
        <is>
          <t>2026-06-28</t>
        </is>
      </c>
      <c r="B719" s="13" t="inlineStr">
        <is>
          <t>harakiimoveis.com.br</t>
        </is>
      </c>
      <c r="C719" s="13" t="inlineStr">
        <is>
          <t>Haraki Imóveis</t>
        </is>
      </c>
      <c r="D719" s="13" t="inlineStr"/>
      <c r="E719" s="13" t="inlineStr">
        <is>
          <t>Imóvel</t>
        </is>
      </c>
      <c r="F719" s="13" t="inlineStr">
        <is>
          <t>Rua Marechal Deodoro, 469, Zona 07</t>
        </is>
      </c>
      <c r="G719" s="13" t="n">
        <v>95.33</v>
      </c>
      <c r="H719" s="13" t="n">
        <v>2</v>
      </c>
      <c r="I719" s="13" t="n">
        <v>2</v>
      </c>
      <c r="K719" s="13" t="n">
        <v>1</v>
      </c>
      <c r="L719" s="13" t="n">
        <v>495000</v>
      </c>
      <c r="M719" s="13" t="inlineStr">
        <is>
          <t>Ref: 00000134 | Markus Herold | https://harakiimoveis.com.br/imovel/00000134/</t>
        </is>
      </c>
      <c r="N719" s="13" t="inlineStr">
        <is>
          <t>Novo</t>
        </is>
      </c>
      <c r="O719" s="13" t="inlineStr"/>
    </row>
    <row r="720">
      <c r="A720" s="13" t="inlineStr">
        <is>
          <t>2026-06-28</t>
        </is>
      </c>
      <c r="B720" s="13" t="inlineStr">
        <is>
          <t>harakiimoveis.com.br</t>
        </is>
      </c>
      <c r="C720" s="13" t="inlineStr">
        <is>
          <t>Haraki Imóveis</t>
        </is>
      </c>
      <c r="D720" s="13" t="inlineStr"/>
      <c r="E720" s="13" t="inlineStr">
        <is>
          <t>Imóvel</t>
        </is>
      </c>
      <c r="F720" s="13" t="inlineStr">
        <is>
          <t>Rua Carlos Cândido, 100B, Jardim Santa Alice</t>
        </is>
      </c>
      <c r="G720" s="13" t="n">
        <v>100</v>
      </c>
      <c r="H720" s="13" t="n">
        <v>1</v>
      </c>
      <c r="I720" s="13" t="n">
        <v>2</v>
      </c>
      <c r="K720" s="13" t="n">
        <v>2</v>
      </c>
      <c r="L720" s="13" t="n">
        <v>495000</v>
      </c>
      <c r="M720" s="13" t="inlineStr">
        <is>
          <t>Ref: 00000476 | https://harakiimoveis.com.br/imovel/00000476/</t>
        </is>
      </c>
      <c r="N720" s="13" t="inlineStr">
        <is>
          <t>Novo</t>
        </is>
      </c>
      <c r="O720" s="13" t="inlineStr"/>
    </row>
    <row r="721">
      <c r="A721" s="13" t="inlineStr">
        <is>
          <t>2026-06-28</t>
        </is>
      </c>
      <c r="B721" s="13" t="inlineStr">
        <is>
          <t>harakiimoveis.com.br</t>
        </is>
      </c>
      <c r="C721" s="13" t="inlineStr">
        <is>
          <t>Haraki Imóveis</t>
        </is>
      </c>
      <c r="D721" s="13" t="inlineStr"/>
      <c r="E721" s="13" t="inlineStr">
        <is>
          <t>Imóvel</t>
        </is>
      </c>
      <c r="F721" s="13" t="inlineStr">
        <is>
          <t>Rua Pioneiro Rubens Antônio Guimarães, Jardim Oriental</t>
        </is>
      </c>
      <c r="G721" s="13" t="n">
        <v>200</v>
      </c>
      <c r="H721" s="13" t="inlineStr"/>
      <c r="I721" s="13" t="inlineStr"/>
      <c r="K721" s="13" t="inlineStr"/>
      <c r="L721" s="13" t="n">
        <v>500000</v>
      </c>
      <c r="M721" s="13" t="inlineStr">
        <is>
          <t>Ref: 00000193 | https://harakiimoveis.com.br/imovel/00000193/</t>
        </is>
      </c>
      <c r="N721" s="13" t="inlineStr">
        <is>
          <t>Novo</t>
        </is>
      </c>
      <c r="O721" s="13" t="inlineStr"/>
    </row>
    <row r="722">
      <c r="A722" s="13" t="inlineStr">
        <is>
          <t>2026-06-28</t>
        </is>
      </c>
      <c r="B722" s="13" t="inlineStr">
        <is>
          <t>harakiimoveis.com.br</t>
        </is>
      </c>
      <c r="C722" s="13" t="inlineStr">
        <is>
          <t>Haraki Imóveis</t>
        </is>
      </c>
      <c r="D722" s="13" t="inlineStr"/>
      <c r="E722" s="13" t="inlineStr">
        <is>
          <t>Imóvel</t>
        </is>
      </c>
      <c r="F722" s="13" t="inlineStr">
        <is>
          <t>Avenida Tamandaré, 710, Zona 01 - Centro</t>
        </is>
      </c>
      <c r="G722" s="13" t="n">
        <v>88</v>
      </c>
      <c r="H722" s="13" t="n">
        <v>1</v>
      </c>
      <c r="I722" s="13" t="n">
        <v>2</v>
      </c>
      <c r="K722" s="13" t="n">
        <v>1</v>
      </c>
      <c r="L722" s="13" t="n">
        <v>500000</v>
      </c>
      <c r="M722" s="13" t="inlineStr">
        <is>
          <t>Ref: 00000253 | Viareggio | https://harakiimoveis.com.br/imovel/00000253/</t>
        </is>
      </c>
      <c r="N722" s="13" t="inlineStr">
        <is>
          <t>Novo</t>
        </is>
      </c>
      <c r="O722" s="13" t="inlineStr"/>
    </row>
    <row r="723">
      <c r="A723" s="13" t="inlineStr">
        <is>
          <t>2026-06-28</t>
        </is>
      </c>
      <c r="B723" s="13" t="inlineStr">
        <is>
          <t>harakiimoveis.com.br</t>
        </is>
      </c>
      <c r="C723" s="13" t="inlineStr">
        <is>
          <t>Haraki Imóveis</t>
        </is>
      </c>
      <c r="D723" s="13" t="inlineStr"/>
      <c r="E723" s="13" t="inlineStr">
        <is>
          <t>Imóvel</t>
        </is>
      </c>
      <c r="F723" s="13" t="inlineStr">
        <is>
          <t>Rua Pioneiro Carlos Bulla, 210, Jardim Paraíso</t>
        </is>
      </c>
      <c r="G723" s="13" t="n">
        <v>375</v>
      </c>
      <c r="H723" s="13" t="inlineStr"/>
      <c r="I723" s="13" t="inlineStr"/>
      <c r="K723" s="13" t="inlineStr"/>
      <c r="L723" s="13" t="n">
        <v>500000</v>
      </c>
      <c r="M723" s="13" t="inlineStr">
        <is>
          <t>Ref: 00000324 | Residencial Green Park | https://harakiimoveis.com.br/imovel/00000324/</t>
        </is>
      </c>
      <c r="N723" s="13" t="inlineStr">
        <is>
          <t>Novo</t>
        </is>
      </c>
      <c r="O723" s="13" t="inlineStr"/>
    </row>
    <row r="724">
      <c r="A724" s="13" t="inlineStr">
        <is>
          <t>2026-06-28</t>
        </is>
      </c>
      <c r="B724" s="13" t="inlineStr">
        <is>
          <t>harakiimoveis.com.br</t>
        </is>
      </c>
      <c r="C724" s="13" t="inlineStr">
        <is>
          <t>Haraki Imóveis</t>
        </is>
      </c>
      <c r="D724" s="13" t="inlineStr"/>
      <c r="E724" s="13" t="inlineStr">
        <is>
          <t>Imóvel</t>
        </is>
      </c>
      <c r="F724" s="13" t="inlineStr">
        <is>
          <t>Rua Pioneiro José Augusto Ramos, 39, Conjunto Hab João de Barro Thais</t>
        </is>
      </c>
      <c r="G724" s="13" t="n">
        <v>443.06</v>
      </c>
      <c r="H724" s="13" t="inlineStr"/>
      <c r="I724" s="13" t="inlineStr"/>
      <c r="K724" s="13" t="inlineStr"/>
      <c r="L724" s="13" t="n">
        <v>500000</v>
      </c>
      <c r="M724" s="13" t="inlineStr">
        <is>
          <t>Ref: 00000389 | https://harakiimoveis.com.br/imovel/00000389/</t>
        </is>
      </c>
      <c r="N724" s="13" t="inlineStr">
        <is>
          <t>Novo</t>
        </is>
      </c>
      <c r="O724" s="13" t="inlineStr"/>
    </row>
    <row r="725">
      <c r="A725" s="13" t="inlineStr">
        <is>
          <t>2026-06-28</t>
        </is>
      </c>
      <c r="B725" s="13" t="inlineStr">
        <is>
          <t>harakiimoveis.com.br</t>
        </is>
      </c>
      <c r="C725" s="13" t="inlineStr">
        <is>
          <t>Haraki Imóveis</t>
        </is>
      </c>
      <c r="D725" s="13" t="inlineStr"/>
      <c r="E725" s="13" t="inlineStr">
        <is>
          <t>Imóvel</t>
        </is>
      </c>
      <c r="F725" s="13" t="inlineStr">
        <is>
          <t>Avenida Bento Munhoz da Rocha Netto, 101, Zona 07</t>
        </is>
      </c>
      <c r="G725" s="13" t="n">
        <v>85.66</v>
      </c>
      <c r="H725" s="13" t="n">
        <v>1</v>
      </c>
      <c r="I725" s="13" t="n">
        <v>2</v>
      </c>
      <c r="K725" s="13" t="n">
        <v>1</v>
      </c>
      <c r="L725" s="13" t="n">
        <v>515000</v>
      </c>
      <c r="M725" s="13" t="inlineStr">
        <is>
          <t>Ref: 00000317 | Bento Munhoz II | https://harakiimoveis.com.br/imovel/00000317/</t>
        </is>
      </c>
      <c r="N725" s="13" t="inlineStr">
        <is>
          <t>Novo</t>
        </is>
      </c>
      <c r="O725" s="13" t="inlineStr"/>
    </row>
    <row r="726">
      <c r="A726" s="13" t="inlineStr">
        <is>
          <t>2026-06-28</t>
        </is>
      </c>
      <c r="B726" s="13" t="inlineStr">
        <is>
          <t>harakiimoveis.com.br</t>
        </is>
      </c>
      <c r="C726" s="13" t="inlineStr">
        <is>
          <t>Haraki Imóveis</t>
        </is>
      </c>
      <c r="D726" s="13" t="inlineStr"/>
      <c r="E726" s="13" t="inlineStr">
        <is>
          <t>Imóvel</t>
        </is>
      </c>
      <c r="F726" s="13" t="inlineStr">
        <is>
          <t>Avenida Rio Branco, 225, Zona 04</t>
        </is>
      </c>
      <c r="G726" s="13" t="n">
        <v>128.46</v>
      </c>
      <c r="H726" s="13" t="n">
        <v>1</v>
      </c>
      <c r="I726" s="13" t="n">
        <v>3</v>
      </c>
      <c r="K726" s="13" t="n">
        <v>2</v>
      </c>
      <c r="L726" s="13" t="n">
        <v>530000</v>
      </c>
      <c r="M726" s="13" t="inlineStr">
        <is>
          <t>Ref: 00000496 | Visconde do Rio Branco | https://harakiimoveis.com.br/imovel/00000496/</t>
        </is>
      </c>
      <c r="N726" s="13" t="inlineStr">
        <is>
          <t>Novo</t>
        </is>
      </c>
      <c r="O726" s="13" t="inlineStr"/>
    </row>
    <row r="727">
      <c r="A727" s="13" t="inlineStr">
        <is>
          <t>2026-06-28</t>
        </is>
      </c>
      <c r="B727" s="13" t="inlineStr">
        <is>
          <t>harakiimoveis.com.br</t>
        </is>
      </c>
      <c r="C727" s="13" t="inlineStr">
        <is>
          <t>Haraki Imóveis</t>
        </is>
      </c>
      <c r="D727" s="13" t="inlineStr"/>
      <c r="E727" s="13" t="inlineStr">
        <is>
          <t>Imóvel</t>
        </is>
      </c>
      <c r="F727" s="13" t="inlineStr">
        <is>
          <t>Rua Pioneira Regina Nicolina Celestino, Conjunto João de Barro Cidade Canção</t>
        </is>
      </c>
      <c r="G727" s="13" t="n">
        <v>450</v>
      </c>
      <c r="H727" s="13" t="inlineStr"/>
      <c r="I727" s="13" t="inlineStr"/>
      <c r="K727" s="13" t="inlineStr"/>
      <c r="L727" s="13" t="n">
        <v>550000</v>
      </c>
      <c r="M727" s="13" t="inlineStr">
        <is>
          <t>Ref: 00000170 | Residencial Ecowind | https://harakiimoveis.com.br/imovel/00000170/</t>
        </is>
      </c>
      <c r="N727" s="13" t="inlineStr">
        <is>
          <t>Novo</t>
        </is>
      </c>
      <c r="O727" s="13" t="inlineStr"/>
    </row>
    <row r="728">
      <c r="A728" s="13" t="inlineStr">
        <is>
          <t>2026-06-28</t>
        </is>
      </c>
      <c r="B728" s="13" t="inlineStr">
        <is>
          <t>harakiimoveis.com.br</t>
        </is>
      </c>
      <c r="C728" s="13" t="inlineStr">
        <is>
          <t>Haraki Imóveis</t>
        </is>
      </c>
      <c r="D728" s="13" t="inlineStr"/>
      <c r="E728" s="13" t="inlineStr">
        <is>
          <t>Imóvel</t>
        </is>
      </c>
      <c r="F728" s="13" t="inlineStr">
        <is>
          <t>Rua Pioneira Leonarda Garcia Coelho, Jardim Colina Verde II</t>
        </is>
      </c>
      <c r="G728" s="13" t="n">
        <v>163</v>
      </c>
      <c r="H728" s="13" t="n">
        <v>1</v>
      </c>
      <c r="I728" s="13" t="n">
        <v>2</v>
      </c>
      <c r="K728" s="13" t="n">
        <v>2</v>
      </c>
      <c r="L728" s="13" t="n">
        <v>550000</v>
      </c>
      <c r="M728" s="13" t="inlineStr">
        <is>
          <t>Ref: 00000256 | https://harakiimoveis.com.br/imovel/00000256/</t>
        </is>
      </c>
      <c r="N728" s="13" t="inlineStr">
        <is>
          <t>Novo</t>
        </is>
      </c>
      <c r="O728" s="13" t="inlineStr"/>
    </row>
    <row r="729">
      <c r="A729" s="13" t="inlineStr">
        <is>
          <t>2026-06-28</t>
        </is>
      </c>
      <c r="B729" s="13" t="inlineStr">
        <is>
          <t>harakiimoveis.com.br</t>
        </is>
      </c>
      <c r="C729" s="13" t="inlineStr">
        <is>
          <t>Haraki Imóveis</t>
        </is>
      </c>
      <c r="D729" s="13" t="inlineStr"/>
      <c r="E729" s="13" t="inlineStr">
        <is>
          <t>Imóvel</t>
        </is>
      </c>
      <c r="F729" s="13" t="inlineStr">
        <is>
          <t>Rua Pioneiro Arthur Carniato, 164, Jardim Oriental</t>
        </is>
      </c>
      <c r="G729" s="13" t="n">
        <v>124</v>
      </c>
      <c r="H729" s="13" t="n">
        <v>1</v>
      </c>
      <c r="I729" s="13" t="n">
        <v>3</v>
      </c>
      <c r="K729" s="13" t="n">
        <v>2</v>
      </c>
      <c r="L729" s="13" t="n">
        <v>550000</v>
      </c>
      <c r="M729" s="13" t="inlineStr">
        <is>
          <t>Ref: 00000301 | https://harakiimoveis.com.br/imovel/00000301/</t>
        </is>
      </c>
      <c r="N729" s="13" t="inlineStr">
        <is>
          <t>Novo</t>
        </is>
      </c>
      <c r="O729" s="13" t="inlineStr"/>
    </row>
    <row r="730">
      <c r="A730" s="13" t="inlineStr">
        <is>
          <t>2026-06-28</t>
        </is>
      </c>
      <c r="B730" s="13" t="inlineStr">
        <is>
          <t>harakiimoveis.com.br</t>
        </is>
      </c>
      <c r="C730" s="13" t="inlineStr">
        <is>
          <t>Haraki Imóveis</t>
        </is>
      </c>
      <c r="D730" s="13" t="inlineStr"/>
      <c r="E730" s="13" t="inlineStr">
        <is>
          <t>Imóvel</t>
        </is>
      </c>
      <c r="F730" s="13" t="inlineStr">
        <is>
          <t>Rua Ivaldo Borges Horta, 413, Jardim Licce</t>
        </is>
      </c>
      <c r="G730" s="13" t="n">
        <v>97</v>
      </c>
      <c r="H730" s="13" t="n">
        <v>1</v>
      </c>
      <c r="I730" s="13" t="n">
        <v>2</v>
      </c>
      <c r="K730" s="13" t="n">
        <v>2</v>
      </c>
      <c r="L730" s="13" t="n">
        <v>550000</v>
      </c>
      <c r="M730" s="13" t="inlineStr">
        <is>
          <t>Ref: 00000312 | https://harakiimoveis.com.br/imovel/00000312/</t>
        </is>
      </c>
      <c r="N730" s="13" t="inlineStr">
        <is>
          <t>Novo</t>
        </is>
      </c>
      <c r="O730" s="13" t="inlineStr"/>
    </row>
    <row r="731">
      <c r="A731" s="13" t="inlineStr">
        <is>
          <t>2026-06-28</t>
        </is>
      </c>
      <c r="B731" s="13" t="inlineStr">
        <is>
          <t>harakiimoveis.com.br</t>
        </is>
      </c>
      <c r="C731" s="13" t="inlineStr">
        <is>
          <t>Haraki Imóveis</t>
        </is>
      </c>
      <c r="D731" s="13" t="inlineStr"/>
      <c r="E731" s="13" t="inlineStr">
        <is>
          <t>Imóvel</t>
        </is>
      </c>
      <c r="F731" s="13" t="inlineStr">
        <is>
          <t>Rua Pioneiro José Arduim, 418, Parque das Laranjeiras</t>
        </is>
      </c>
      <c r="G731" s="13" t="n">
        <v>94</v>
      </c>
      <c r="H731" s="13" t="n">
        <v>1</v>
      </c>
      <c r="I731" s="13" t="n">
        <v>2</v>
      </c>
      <c r="K731" s="13" t="n">
        <v>2</v>
      </c>
      <c r="L731" s="13" t="n">
        <v>550000</v>
      </c>
      <c r="M731" s="13" t="inlineStr">
        <is>
          <t>Ref: 00000371 | https://harakiimoveis.com.br/imovel/00000371/</t>
        </is>
      </c>
      <c r="N731" s="13" t="inlineStr">
        <is>
          <t>Novo</t>
        </is>
      </c>
      <c r="O731" s="13" t="inlineStr"/>
    </row>
    <row r="732">
      <c r="A732" s="13" t="inlineStr">
        <is>
          <t>2026-06-28</t>
        </is>
      </c>
      <c r="B732" s="13" t="inlineStr">
        <is>
          <t>harakiimoveis.com.br</t>
        </is>
      </c>
      <c r="C732" s="13" t="inlineStr">
        <is>
          <t>Haraki Imóveis</t>
        </is>
      </c>
      <c r="D732" s="13" t="inlineStr"/>
      <c r="E732" s="13" t="inlineStr">
        <is>
          <t>Imóvel</t>
        </is>
      </c>
      <c r="F732" s="13" t="inlineStr">
        <is>
          <t>Rua Pioneiro Olinto Mariani, Jardim Monte Rei</t>
        </is>
      </c>
      <c r="G732" s="13" t="n">
        <v>90</v>
      </c>
      <c r="H732" s="13" t="n">
        <v>1</v>
      </c>
      <c r="I732" s="13" t="n">
        <v>2</v>
      </c>
      <c r="K732" s="13" t="n">
        <v>2</v>
      </c>
      <c r="L732" s="13" t="n">
        <v>550000</v>
      </c>
      <c r="M732" s="13" t="inlineStr">
        <is>
          <t>Ref: 00000517 | https://harakiimoveis.com.br/imovel/00000517/</t>
        </is>
      </c>
      <c r="N732" s="13" t="inlineStr">
        <is>
          <t>Novo</t>
        </is>
      </c>
      <c r="O732" s="13" t="inlineStr"/>
    </row>
    <row r="733">
      <c r="A733" s="13" t="inlineStr">
        <is>
          <t>2026-06-28</t>
        </is>
      </c>
      <c r="B733" s="13" t="inlineStr">
        <is>
          <t>harakiimoveis.com.br</t>
        </is>
      </c>
      <c r="C733" s="13" t="inlineStr">
        <is>
          <t>Haraki Imóveis</t>
        </is>
      </c>
      <c r="D733" s="13" t="inlineStr"/>
      <c r="E733" s="13" t="inlineStr">
        <is>
          <t>Imóvel</t>
        </is>
      </c>
      <c r="F733" s="13" t="inlineStr">
        <is>
          <t>Rua Emborcação, Parque das Grevíleas</t>
        </is>
      </c>
      <c r="G733" s="13" t="n">
        <v>101</v>
      </c>
      <c r="H733" s="13" t="n">
        <v>1</v>
      </c>
      <c r="I733" s="13" t="n">
        <v>2</v>
      </c>
      <c r="K733" s="13" t="n">
        <v>2</v>
      </c>
      <c r="L733" s="13" t="n">
        <v>555000</v>
      </c>
      <c r="M733" s="13" t="inlineStr">
        <is>
          <t>Ref: 00000413 | https://harakiimoveis.com.br/imovel/00000413/</t>
        </is>
      </c>
      <c r="N733" s="13" t="inlineStr">
        <is>
          <t>Novo</t>
        </is>
      </c>
      <c r="O733" s="13" t="inlineStr"/>
    </row>
    <row r="734">
      <c r="A734" s="13" t="inlineStr">
        <is>
          <t>2026-06-28</t>
        </is>
      </c>
      <c r="B734" s="13" t="inlineStr">
        <is>
          <t>harakiimoveis.com.br</t>
        </is>
      </c>
      <c r="C734" s="13" t="inlineStr">
        <is>
          <t>Haraki Imóveis</t>
        </is>
      </c>
      <c r="D734" s="13" t="inlineStr"/>
      <c r="E734" s="13" t="inlineStr">
        <is>
          <t>Imóvel</t>
        </is>
      </c>
      <c r="F734" s="13" t="inlineStr">
        <is>
          <t>Rua Vitório Sambatti, 58, Jardim Liberdade</t>
        </is>
      </c>
      <c r="G734" s="13" t="n">
        <v>105</v>
      </c>
      <c r="H734" s="13" t="n">
        <v>1</v>
      </c>
      <c r="I734" s="13" t="n">
        <v>2</v>
      </c>
      <c r="K734" s="13" t="n">
        <v>2</v>
      </c>
      <c r="L734" s="13" t="n">
        <v>570000</v>
      </c>
      <c r="M734" s="13" t="inlineStr">
        <is>
          <t>Ref: 00000434 | https://harakiimoveis.com.br/imovel/00000434/</t>
        </is>
      </c>
      <c r="N734" s="13" t="inlineStr">
        <is>
          <t>Novo</t>
        </is>
      </c>
      <c r="O734" s="13" t="inlineStr"/>
    </row>
    <row r="735">
      <c r="A735" s="13" t="inlineStr">
        <is>
          <t>2026-06-28</t>
        </is>
      </c>
      <c r="B735" s="13" t="inlineStr">
        <is>
          <t>harakiimoveis.com.br</t>
        </is>
      </c>
      <c r="C735" s="13" t="inlineStr">
        <is>
          <t>Haraki Imóveis</t>
        </is>
      </c>
      <c r="D735" s="13" t="inlineStr"/>
      <c r="E735" s="13" t="inlineStr">
        <is>
          <t>Imóvel</t>
        </is>
      </c>
      <c r="F735" s="13" t="inlineStr">
        <is>
          <t>Rua Tucuruí, 626, Parque das Grevíleas</t>
        </is>
      </c>
      <c r="G735" s="13" t="n">
        <v>167</v>
      </c>
      <c r="H735" s="13" t="n">
        <v>1</v>
      </c>
      <c r="I735" s="13" t="n">
        <v>2</v>
      </c>
      <c r="K735" s="13" t="n">
        <v>4</v>
      </c>
      <c r="L735" s="13" t="n">
        <v>580000</v>
      </c>
      <c r="M735" s="13" t="inlineStr">
        <is>
          <t>Ref: 00000232 | https://harakiimoveis.com.br/imovel/00000232/</t>
        </is>
      </c>
      <c r="N735" s="13" t="inlineStr">
        <is>
          <t>Novo</t>
        </is>
      </c>
      <c r="O735" s="13" t="inlineStr"/>
    </row>
    <row r="736">
      <c r="A736" s="13" t="inlineStr">
        <is>
          <t>2026-06-28</t>
        </is>
      </c>
      <c r="B736" s="13" t="inlineStr">
        <is>
          <t>harakiimoveis.com.br</t>
        </is>
      </c>
      <c r="C736" s="13" t="inlineStr">
        <is>
          <t>Haraki Imóveis</t>
        </is>
      </c>
      <c r="D736" s="13" t="inlineStr"/>
      <c r="E736" s="13" t="inlineStr">
        <is>
          <t>Imóvel</t>
        </is>
      </c>
      <c r="F736" s="13" t="inlineStr">
        <is>
          <t>Rua Rubi, 1495, Jardim Santa Helena</t>
        </is>
      </c>
      <c r="G736" s="13" t="n">
        <v>146.19</v>
      </c>
      <c r="H736" s="13" t="n">
        <v>1</v>
      </c>
      <c r="I736" s="13" t="n">
        <v>3</v>
      </c>
      <c r="K736" s="13" t="n">
        <v>2</v>
      </c>
      <c r="L736" s="13" t="n">
        <v>580000</v>
      </c>
      <c r="M736" s="13" t="inlineStr">
        <is>
          <t>Ref: 00000352 | https://harakiimoveis.com.br/imovel/00000352/</t>
        </is>
      </c>
      <c r="N736" s="13" t="inlineStr">
        <is>
          <t>Novo</t>
        </is>
      </c>
      <c r="O736" s="13" t="inlineStr"/>
    </row>
    <row r="737">
      <c r="A737" s="13" t="inlineStr">
        <is>
          <t>2026-06-28</t>
        </is>
      </c>
      <c r="B737" s="13" t="inlineStr">
        <is>
          <t>harakiimoveis.com.br</t>
        </is>
      </c>
      <c r="C737" s="13" t="inlineStr">
        <is>
          <t>Haraki Imóveis</t>
        </is>
      </c>
      <c r="D737" s="13" t="inlineStr"/>
      <c r="E737" s="13" t="inlineStr">
        <is>
          <t>Imóvel</t>
        </is>
      </c>
      <c r="F737" s="13" t="inlineStr">
        <is>
          <t>Avenida Paranavaí, 898, Zona 06</t>
        </is>
      </c>
      <c r="G737" s="13" t="n">
        <v>173.61</v>
      </c>
      <c r="H737" s="13" t="inlineStr"/>
      <c r="I737" s="13" t="inlineStr"/>
      <c r="K737" s="13" t="inlineStr"/>
      <c r="L737" s="13" t="n">
        <v>580000</v>
      </c>
      <c r="M737" s="13" t="inlineStr">
        <is>
          <t>Ref: 00000483 | https://harakiimoveis.com.br/imovel/00000483/</t>
        </is>
      </c>
      <c r="N737" s="13" t="inlineStr">
        <is>
          <t>Novo</t>
        </is>
      </c>
      <c r="O737" s="13" t="inlineStr"/>
    </row>
    <row r="738">
      <c r="A738" s="13" t="inlineStr">
        <is>
          <t>2026-06-28</t>
        </is>
      </c>
      <c r="B738" s="13" t="inlineStr">
        <is>
          <t>harakiimoveis.com.br</t>
        </is>
      </c>
      <c r="C738" s="13" t="inlineStr">
        <is>
          <t>Haraki Imóveis</t>
        </is>
      </c>
      <c r="D738" s="13" t="inlineStr"/>
      <c r="E738" s="13" t="inlineStr">
        <is>
          <t>Imóvel</t>
        </is>
      </c>
      <c r="F738" s="13" t="inlineStr">
        <is>
          <t>Avenida Paranavaí, 898, Zona 06</t>
        </is>
      </c>
      <c r="G738" s="13" t="n">
        <v>259.08</v>
      </c>
      <c r="H738" s="13" t="inlineStr"/>
      <c r="I738" s="13" t="inlineStr"/>
      <c r="K738" s="13" t="inlineStr"/>
      <c r="L738" s="13" t="n">
        <v>580000</v>
      </c>
      <c r="M738" s="13" t="inlineStr">
        <is>
          <t>Ref: 00000484 | https://harakiimoveis.com.br/imovel/00000484/</t>
        </is>
      </c>
      <c r="N738" s="13" t="inlineStr">
        <is>
          <t>Novo</t>
        </is>
      </c>
      <c r="O738" s="13" t="inlineStr"/>
    </row>
    <row r="739">
      <c r="A739" s="13" t="inlineStr">
        <is>
          <t>2026-06-28</t>
        </is>
      </c>
      <c r="B739" s="13" t="inlineStr">
        <is>
          <t>harakiimoveis.com.br</t>
        </is>
      </c>
      <c r="C739" s="13" t="inlineStr">
        <is>
          <t>Haraki Imóveis</t>
        </is>
      </c>
      <c r="D739" s="13" t="inlineStr"/>
      <c r="E739" s="13" t="inlineStr">
        <is>
          <t>Imóvel</t>
        </is>
      </c>
      <c r="F739" s="13" t="inlineStr">
        <is>
          <t>Rua Pioneiro Toshinori Tsukada, 169, Jardim Brasília</t>
        </is>
      </c>
      <c r="G739" s="13" t="n">
        <v>99</v>
      </c>
      <c r="H739" s="13" t="n">
        <v>1</v>
      </c>
      <c r="I739" s="13" t="n">
        <v>2</v>
      </c>
      <c r="K739" s="13" t="n">
        <v>1</v>
      </c>
      <c r="L739" s="13" t="n">
        <v>599000</v>
      </c>
      <c r="M739" s="13" t="inlineStr">
        <is>
          <t>Ref: 00000433 | https://harakiimoveis.com.br/imovel/00000433/</t>
        </is>
      </c>
      <c r="N739" s="13" t="inlineStr">
        <is>
          <t>Novo</t>
        </is>
      </c>
      <c r="O739" s="13" t="inlineStr"/>
    </row>
    <row r="740">
      <c r="A740" s="13" t="inlineStr">
        <is>
          <t>2026-06-28</t>
        </is>
      </c>
      <c r="B740" s="13" t="inlineStr">
        <is>
          <t>harakiimoveis.com.br</t>
        </is>
      </c>
      <c r="C740" s="13" t="inlineStr">
        <is>
          <t>Haraki Imóveis</t>
        </is>
      </c>
      <c r="D740" s="13" t="inlineStr"/>
      <c r="E740" s="13" t="inlineStr">
        <is>
          <t>Imóvel</t>
        </is>
      </c>
      <c r="F740" s="13" t="inlineStr">
        <is>
          <t>Rua Pioneiro Antônio Castanha, 951, Jardim Itália</t>
        </is>
      </c>
      <c r="G740" s="13" t="n">
        <v>99</v>
      </c>
      <c r="H740" s="13" t="n">
        <v>1</v>
      </c>
      <c r="I740" s="13" t="n">
        <v>2</v>
      </c>
      <c r="K740" s="13" t="n">
        <v>1</v>
      </c>
      <c r="L740" s="13" t="n">
        <v>599000</v>
      </c>
      <c r="M740" s="13" t="inlineStr">
        <is>
          <t>Ref: 00000493 | https://harakiimoveis.com.br/imovel/00000493/</t>
        </is>
      </c>
      <c r="N740" s="13" t="inlineStr">
        <is>
          <t>Novo</t>
        </is>
      </c>
      <c r="O740" s="13" t="inlineStr"/>
    </row>
    <row r="741">
      <c r="A741" s="13" t="inlineStr">
        <is>
          <t>2026-06-28</t>
        </is>
      </c>
      <c r="B741" s="13" t="inlineStr">
        <is>
          <t>harakiimoveis.com.br</t>
        </is>
      </c>
      <c r="C741" s="13" t="inlineStr">
        <is>
          <t>Haraki Imóveis</t>
        </is>
      </c>
      <c r="D741" s="13" t="inlineStr"/>
      <c r="E741" s="13" t="inlineStr">
        <is>
          <t>Imóvel</t>
        </is>
      </c>
      <c r="F741" s="13" t="inlineStr">
        <is>
          <t>Rua Pioneira Norvina Maria Gonçalves, 20, Jardim Império do Sol</t>
        </is>
      </c>
      <c r="G741" s="13" t="n">
        <v>103</v>
      </c>
      <c r="H741" s="13" t="n">
        <v>1</v>
      </c>
      <c r="I741" s="13" t="n">
        <v>2</v>
      </c>
      <c r="K741" s="13" t="n">
        <v>2</v>
      </c>
      <c r="L741" s="13" t="n">
        <v>648000</v>
      </c>
      <c r="M741" s="13" t="inlineStr">
        <is>
          <t>Ref: 00000157 | https://harakiimoveis.com.br/imovel/00000157/</t>
        </is>
      </c>
      <c r="N741" s="13" t="inlineStr">
        <is>
          <t>Novo</t>
        </is>
      </c>
      <c r="O741" s="13" t="inlineStr"/>
    </row>
    <row r="742">
      <c r="A742" s="13" t="inlineStr">
        <is>
          <t>2026-06-28</t>
        </is>
      </c>
      <c r="B742" s="13" t="inlineStr">
        <is>
          <t>harakiimoveis.com.br</t>
        </is>
      </c>
      <c r="C742" s="13" t="inlineStr">
        <is>
          <t>Haraki Imóveis</t>
        </is>
      </c>
      <c r="D742" s="13" t="inlineStr"/>
      <c r="E742" s="13" t="inlineStr">
        <is>
          <t>Imóvel</t>
        </is>
      </c>
      <c r="F742" s="13" t="inlineStr">
        <is>
          <t>Rua Marcílio Dias, 1162, Zona 03</t>
        </is>
      </c>
      <c r="G742" s="13" t="n">
        <v>74</v>
      </c>
      <c r="H742" s="13" t="n">
        <v>1</v>
      </c>
      <c r="I742" s="13" t="n">
        <v>2</v>
      </c>
      <c r="K742" s="13" t="n">
        <v>1</v>
      </c>
      <c r="L742" s="13" t="n">
        <v>650000</v>
      </c>
      <c r="M742" s="13" t="inlineStr">
        <is>
          <t>Ref: 00000056 | Mirante do Parque | https://harakiimoveis.com.br/imovel/00000056/</t>
        </is>
      </c>
      <c r="N742" s="13" t="inlineStr">
        <is>
          <t>Novo</t>
        </is>
      </c>
      <c r="O742" s="13" t="inlineStr"/>
    </row>
    <row r="743">
      <c r="A743" s="13" t="inlineStr">
        <is>
          <t>2026-06-28</t>
        </is>
      </c>
      <c r="B743" s="13" t="inlineStr">
        <is>
          <t>harakiimoveis.com.br</t>
        </is>
      </c>
      <c r="C743" s="13" t="inlineStr">
        <is>
          <t>Haraki Imóveis</t>
        </is>
      </c>
      <c r="D743" s="13" t="inlineStr"/>
      <c r="E743" s="13" t="inlineStr">
        <is>
          <t>Imóvel</t>
        </is>
      </c>
      <c r="F743" s="13" t="inlineStr">
        <is>
          <t>Estrada Romeirinha, 2413, B-39, Jardins de Monet Residence</t>
        </is>
      </c>
      <c r="G743" s="13" t="n">
        <v>472.88</v>
      </c>
      <c r="H743" s="13" t="inlineStr"/>
      <c r="I743" s="13" t="inlineStr"/>
      <c r="K743" s="13" t="inlineStr"/>
      <c r="L743" s="13" t="n">
        <v>650000</v>
      </c>
      <c r="M743" s="13" t="inlineStr">
        <is>
          <t>Ref: 00000183 | https://harakiimoveis.com.br/imovel/00000183/</t>
        </is>
      </c>
      <c r="N743" s="13" t="inlineStr">
        <is>
          <t>Novo</t>
        </is>
      </c>
      <c r="O743" s="13" t="inlineStr"/>
    </row>
    <row r="744">
      <c r="A744" s="13" t="inlineStr">
        <is>
          <t>2026-06-28</t>
        </is>
      </c>
      <c r="B744" s="13" t="inlineStr">
        <is>
          <t>harakiimoveis.com.br</t>
        </is>
      </c>
      <c r="C744" s="13" t="inlineStr">
        <is>
          <t>Haraki Imóveis</t>
        </is>
      </c>
      <c r="D744" s="13" t="inlineStr"/>
      <c r="E744" s="13" t="inlineStr">
        <is>
          <t>Imóvel</t>
        </is>
      </c>
      <c r="F744" s="13" t="inlineStr">
        <is>
          <t>Rua Prefeito Sadao Inaoka, 351, Parque Industrial</t>
        </is>
      </c>
      <c r="G744" s="13" t="n">
        <v>396</v>
      </c>
      <c r="H744" s="13" t="inlineStr"/>
      <c r="I744" s="13" t="inlineStr"/>
      <c r="K744" s="13" t="inlineStr"/>
      <c r="L744" s="13" t="n">
        <v>670000</v>
      </c>
      <c r="M744" s="13" t="inlineStr">
        <is>
          <t>Ref: 00000461 | Hayashi | https://harakiimoveis.com.br/imovel/00000461/</t>
        </is>
      </c>
      <c r="N744" s="13" t="inlineStr">
        <is>
          <t>Novo</t>
        </is>
      </c>
      <c r="O744" s="13" t="inlineStr"/>
    </row>
    <row r="745">
      <c r="A745" s="13" t="inlineStr">
        <is>
          <t>2026-06-28</t>
        </is>
      </c>
      <c r="B745" s="13" t="inlineStr">
        <is>
          <t>harakiimoveis.com.br</t>
        </is>
      </c>
      <c r="C745" s="13" t="inlineStr">
        <is>
          <t>Haraki Imóveis</t>
        </is>
      </c>
      <c r="D745" s="13" t="inlineStr"/>
      <c r="E745" s="13" t="inlineStr">
        <is>
          <t>Imóvel</t>
        </is>
      </c>
      <c r="F745" s="13" t="inlineStr">
        <is>
          <t>Rua Pedro Nunes, 50, Jardim Catedral</t>
        </is>
      </c>
      <c r="G745" s="13" t="n">
        <v>109</v>
      </c>
      <c r="H745" s="13" t="n">
        <v>1</v>
      </c>
      <c r="I745" s="13" t="n">
        <v>3</v>
      </c>
      <c r="K745" s="13" t="n">
        <v>2</v>
      </c>
      <c r="L745" s="13" t="n">
        <v>690000</v>
      </c>
      <c r="M745" s="13" t="inlineStr">
        <is>
          <t>Ref: 00000194 | https://harakiimoveis.com.br/imovel/00000194/</t>
        </is>
      </c>
      <c r="N745" s="13" t="inlineStr">
        <is>
          <t>Novo</t>
        </is>
      </c>
      <c r="O745" s="13" t="inlineStr"/>
    </row>
    <row r="746">
      <c r="A746" s="13" t="inlineStr">
        <is>
          <t>2026-06-28</t>
        </is>
      </c>
      <c r="B746" s="13" t="inlineStr">
        <is>
          <t>harakiimoveis.com.br</t>
        </is>
      </c>
      <c r="C746" s="13" t="inlineStr">
        <is>
          <t>Haraki Imóveis</t>
        </is>
      </c>
      <c r="D746" s="13" t="inlineStr"/>
      <c r="E746" s="13" t="inlineStr">
        <is>
          <t>Imóvel</t>
        </is>
      </c>
      <c r="F746" s="13" t="inlineStr">
        <is>
          <t>Rua Pioneiro Fortunato Pires de Camargo, Jardim Oriental</t>
        </is>
      </c>
      <c r="G746" s="13" t="n">
        <v>139.61</v>
      </c>
      <c r="H746" s="13" t="n">
        <v>1</v>
      </c>
      <c r="I746" s="13" t="n">
        <v>2</v>
      </c>
      <c r="K746" s="13" t="n">
        <v>2</v>
      </c>
      <c r="L746" s="13" t="n">
        <v>690000</v>
      </c>
      <c r="M746" s="13" t="inlineStr">
        <is>
          <t>Ref: 00000450 | https://harakiimoveis.com.br/imovel/00000450/</t>
        </is>
      </c>
      <c r="N746" s="13" t="inlineStr">
        <is>
          <t>Novo</t>
        </is>
      </c>
      <c r="O746" s="13" t="inlineStr"/>
    </row>
    <row r="747">
      <c r="A747" s="13" t="inlineStr">
        <is>
          <t>2026-06-28</t>
        </is>
      </c>
      <c r="B747" s="13" t="inlineStr">
        <is>
          <t>harakiimoveis.com.br</t>
        </is>
      </c>
      <c r="C747" s="13" t="inlineStr">
        <is>
          <t>Haraki Imóveis</t>
        </is>
      </c>
      <c r="D747" s="13" t="inlineStr"/>
      <c r="E747" s="13" t="inlineStr">
        <is>
          <t>Imóvel</t>
        </is>
      </c>
      <c r="F747" s="13" t="inlineStr">
        <is>
          <t>Rua Marechal Deodoro, 1166, Zona 07</t>
        </is>
      </c>
      <c r="G747" s="13" t="n">
        <v>105</v>
      </c>
      <c r="H747" s="13" t="n">
        <v>2</v>
      </c>
      <c r="I747" s="13" t="n">
        <v>4</v>
      </c>
      <c r="K747" s="13" t="n">
        <v>2</v>
      </c>
      <c r="L747" s="13" t="n">
        <v>695000</v>
      </c>
      <c r="M747" s="13" t="inlineStr">
        <is>
          <t>Ref: 00000359 | Green Park Boulevard | https://harakiimoveis.com.br/imovel/00000359/</t>
        </is>
      </c>
      <c r="N747" s="13" t="inlineStr">
        <is>
          <t>Novo</t>
        </is>
      </c>
      <c r="O747" s="13" t="inlineStr"/>
    </row>
    <row r="748">
      <c r="A748" s="13" t="inlineStr">
        <is>
          <t>2026-06-28</t>
        </is>
      </c>
      <c r="B748" s="13" t="inlineStr">
        <is>
          <t>harakiimoveis.com.br</t>
        </is>
      </c>
      <c r="C748" s="13" t="inlineStr">
        <is>
          <t>Haraki Imóveis</t>
        </is>
      </c>
      <c r="D748" s="13" t="inlineStr"/>
      <c r="E748" s="13" t="inlineStr">
        <is>
          <t>Imóvel</t>
        </is>
      </c>
      <c r="F748" s="13" t="inlineStr">
        <is>
          <t>Rua Cajueiro, 211, Loteamento Madrid</t>
        </is>
      </c>
      <c r="G748" s="13" t="n">
        <v>174</v>
      </c>
      <c r="H748" s="13" t="n">
        <v>1</v>
      </c>
      <c r="I748" s="13" t="n">
        <v>3</v>
      </c>
      <c r="K748" s="13" t="n">
        <v>3</v>
      </c>
      <c r="L748" s="13" t="n">
        <v>695000</v>
      </c>
      <c r="M748" s="13" t="inlineStr">
        <is>
          <t>Ref: 00000430 | https://harakiimoveis.com.br/imovel/00000430/</t>
        </is>
      </c>
      <c r="N748" s="13" t="inlineStr">
        <is>
          <t>Novo</t>
        </is>
      </c>
      <c r="O748" s="13" t="inlineStr"/>
    </row>
    <row r="749">
      <c r="A749" s="13" t="inlineStr">
        <is>
          <t>2026-06-28</t>
        </is>
      </c>
      <c r="B749" s="13" t="inlineStr">
        <is>
          <t>harakiimoveis.com.br</t>
        </is>
      </c>
      <c r="C749" s="13" t="inlineStr">
        <is>
          <t>Haraki Imóveis</t>
        </is>
      </c>
      <c r="D749" s="13" t="inlineStr"/>
      <c r="E749" s="13" t="inlineStr">
        <is>
          <t>Imóvel</t>
        </is>
      </c>
      <c r="F749" s="13" t="inlineStr">
        <is>
          <t>Rua Fatmé Said Chamseddine, Jardim Barcelona</t>
        </is>
      </c>
      <c r="G749" s="13" t="n">
        <v>97.5</v>
      </c>
      <c r="H749" s="13" t="n">
        <v>1</v>
      </c>
      <c r="I749" s="13" t="n">
        <v>2</v>
      </c>
      <c r="K749" s="13" t="inlineStr"/>
      <c r="L749" s="13" t="n">
        <v>700000</v>
      </c>
      <c r="M749" s="13" t="inlineStr">
        <is>
          <t>Ref: 00000304 | https://harakiimoveis.com.br/imovel/00000304/</t>
        </is>
      </c>
      <c r="N749" s="13" t="inlineStr">
        <is>
          <t>Novo</t>
        </is>
      </c>
      <c r="O749" s="13" t="inlineStr"/>
    </row>
    <row r="750">
      <c r="A750" s="13" t="inlineStr">
        <is>
          <t>2026-06-28</t>
        </is>
      </c>
      <c r="B750" s="13" t="inlineStr">
        <is>
          <t>harakiimoveis.com.br</t>
        </is>
      </c>
      <c r="C750" s="13" t="inlineStr">
        <is>
          <t>Haraki Imóveis</t>
        </is>
      </c>
      <c r="D750" s="13" t="inlineStr"/>
      <c r="E750" s="13" t="inlineStr">
        <is>
          <t>Imóvel</t>
        </is>
      </c>
      <c r="F750" s="13" t="inlineStr">
        <is>
          <t>Rua Manágua, 04, Vila Morangueira</t>
        </is>
      </c>
      <c r="G750" s="13" t="n">
        <v>116.26</v>
      </c>
      <c r="H750" s="13" t="n">
        <v>1</v>
      </c>
      <c r="I750" s="13" t="n">
        <v>2</v>
      </c>
      <c r="K750" s="13" t="n">
        <v>2</v>
      </c>
      <c r="L750" s="13" t="n">
        <v>700000</v>
      </c>
      <c r="M750" s="13" t="inlineStr">
        <is>
          <t>Ref: 00000470 | https://harakiimoveis.com.br/imovel/00000470/</t>
        </is>
      </c>
      <c r="N750" s="13" t="inlineStr">
        <is>
          <t>Novo</t>
        </is>
      </c>
      <c r="O750" s="13" t="inlineStr"/>
    </row>
    <row r="751">
      <c r="A751" s="13" t="inlineStr">
        <is>
          <t>2026-06-28</t>
        </is>
      </c>
      <c r="B751" s="13" t="inlineStr">
        <is>
          <t>harakiimoveis.com.br</t>
        </is>
      </c>
      <c r="C751" s="13" t="inlineStr">
        <is>
          <t>Haraki Imóveis</t>
        </is>
      </c>
      <c r="D751" s="13" t="inlineStr"/>
      <c r="E751" s="13" t="inlineStr">
        <is>
          <t>Imóvel</t>
        </is>
      </c>
      <c r="F751" s="13" t="inlineStr">
        <is>
          <t>Rua Professor Valter Biazin, 53, Jardim Novo Oásis</t>
        </is>
      </c>
      <c r="G751" s="13" t="n">
        <v>186</v>
      </c>
      <c r="H751" s="13" t="n">
        <v>1</v>
      </c>
      <c r="I751" s="13" t="n">
        <v>3</v>
      </c>
      <c r="K751" s="13" t="n">
        <v>2</v>
      </c>
      <c r="L751" s="13" t="n">
        <v>700000</v>
      </c>
      <c r="M751" s="13" t="inlineStr">
        <is>
          <t>Ref: 00000537 | https://harakiimoveis.com.br/imovel/00000537/</t>
        </is>
      </c>
      <c r="N751" s="13" t="inlineStr">
        <is>
          <t>Novo</t>
        </is>
      </c>
      <c r="O751" s="13" t="inlineStr"/>
    </row>
    <row r="752">
      <c r="A752" s="13" t="inlineStr">
        <is>
          <t>2026-06-28</t>
        </is>
      </c>
      <c r="B752" s="13" t="inlineStr">
        <is>
          <t>harakiimoveis.com.br</t>
        </is>
      </c>
      <c r="C752" s="13" t="inlineStr">
        <is>
          <t>Haraki Imóveis</t>
        </is>
      </c>
      <c r="D752" s="13" t="inlineStr"/>
      <c r="E752" s="13" t="inlineStr">
        <is>
          <t>Imóvel</t>
        </is>
      </c>
      <c r="F752" s="13" t="inlineStr">
        <is>
          <t>Rua Pioneira Arminda Buschini Seravalli, Jardim Petrópolis</t>
        </is>
      </c>
      <c r="G752" s="13" t="n">
        <v>110</v>
      </c>
      <c r="H752" s="13" t="n">
        <v>1</v>
      </c>
      <c r="I752" s="13" t="n">
        <v>3</v>
      </c>
      <c r="K752" s="13" t="n">
        <v>2</v>
      </c>
      <c r="L752" s="13" t="n">
        <v>720000</v>
      </c>
      <c r="M752" s="13" t="inlineStr">
        <is>
          <t>Ref: 00000513 | https://harakiimoveis.com.br/imovel/00000513/</t>
        </is>
      </c>
      <c r="N752" s="13" t="inlineStr">
        <is>
          <t>Novo</t>
        </is>
      </c>
      <c r="O752" s="13" t="inlineStr"/>
    </row>
    <row r="753">
      <c r="A753" s="13" t="inlineStr">
        <is>
          <t>2026-06-28</t>
        </is>
      </c>
      <c r="B753" s="13" t="inlineStr">
        <is>
          <t>harakiimoveis.com.br</t>
        </is>
      </c>
      <c r="C753" s="13" t="inlineStr">
        <is>
          <t>Haraki Imóveis</t>
        </is>
      </c>
      <c r="D753" s="13" t="inlineStr"/>
      <c r="E753" s="13" t="inlineStr">
        <is>
          <t>Imóvel</t>
        </is>
      </c>
      <c r="F753" s="13" t="inlineStr">
        <is>
          <t>Rua Pioneira Vergínia Maria Fecchio, Jardim Itália II</t>
        </is>
      </c>
      <c r="G753" s="13" t="n">
        <v>105</v>
      </c>
      <c r="H753" s="13" t="n">
        <v>1</v>
      </c>
      <c r="I753" s="13" t="n">
        <v>3</v>
      </c>
      <c r="K753" s="13" t="n">
        <v>2</v>
      </c>
      <c r="L753" s="13" t="n">
        <v>730000</v>
      </c>
      <c r="M753" s="13" t="inlineStr">
        <is>
          <t>Ref: 00000538 | https://harakiimoveis.com.br/imovel/00000538/</t>
        </is>
      </c>
      <c r="N753" s="13" t="inlineStr">
        <is>
          <t>Novo</t>
        </is>
      </c>
      <c r="O753" s="13" t="inlineStr"/>
    </row>
    <row r="754">
      <c r="A754" s="13" t="inlineStr">
        <is>
          <t>2026-06-28</t>
        </is>
      </c>
      <c r="B754" s="13" t="inlineStr">
        <is>
          <t>harakiimoveis.com.br</t>
        </is>
      </c>
      <c r="C754" s="13" t="inlineStr">
        <is>
          <t>Haraki Imóveis</t>
        </is>
      </c>
      <c r="D754" s="13" t="inlineStr"/>
      <c r="E754" s="13" t="inlineStr">
        <is>
          <t>Imóvel</t>
        </is>
      </c>
      <c r="F754" s="13" t="inlineStr">
        <is>
          <t>Rua Raimundo Correia, 260, Zona 06</t>
        </is>
      </c>
      <c r="G754" s="13" t="n">
        <v>479</v>
      </c>
      <c r="H754" s="13" t="n">
        <v>4</v>
      </c>
      <c r="I754" s="13" t="n">
        <v>2</v>
      </c>
      <c r="K754" s="13" t="n">
        <v>4</v>
      </c>
      <c r="L754" s="13" t="n">
        <v>750000</v>
      </c>
      <c r="M754" s="13" t="inlineStr">
        <is>
          <t>Ref: 00000002 | https://harakiimoveis.com.br/imovel/00000002/</t>
        </is>
      </c>
      <c r="N754" s="13" t="inlineStr">
        <is>
          <t>Novo</t>
        </is>
      </c>
      <c r="O754" s="13" t="inlineStr"/>
    </row>
    <row r="755">
      <c r="A755" s="13" t="inlineStr">
        <is>
          <t>2026-06-28</t>
        </is>
      </c>
      <c r="B755" s="13" t="inlineStr">
        <is>
          <t>harakiimoveis.com.br</t>
        </is>
      </c>
      <c r="C755" s="13" t="inlineStr">
        <is>
          <t>Haraki Imóveis</t>
        </is>
      </c>
      <c r="D755" s="13" t="inlineStr"/>
      <c r="E755" s="13" t="inlineStr">
        <is>
          <t>Imóvel</t>
        </is>
      </c>
      <c r="F755" s="13" t="inlineStr">
        <is>
          <t>Rua Ambientalista Chico Mendes, 90, Galeão</t>
        </is>
      </c>
      <c r="G755" s="13" t="n">
        <v>160</v>
      </c>
      <c r="H755" s="13" t="n">
        <v>1</v>
      </c>
      <c r="I755" s="13" t="n">
        <v>2</v>
      </c>
      <c r="K755" s="13" t="n">
        <v>2</v>
      </c>
      <c r="L755" s="13" t="n">
        <v>750000</v>
      </c>
      <c r="M755" s="13" t="inlineStr">
        <is>
          <t>Ref: 00000025 | https://harakiimoveis.com.br/imovel/00000025/</t>
        </is>
      </c>
      <c r="N755" s="13" t="inlineStr">
        <is>
          <t>Novo</t>
        </is>
      </c>
      <c r="O755" s="13" t="inlineStr"/>
    </row>
    <row r="756">
      <c r="A756" s="13" t="inlineStr">
        <is>
          <t>2026-06-28</t>
        </is>
      </c>
      <c r="B756" s="13" t="inlineStr">
        <is>
          <t>harakiimoveis.com.br</t>
        </is>
      </c>
      <c r="C756" s="13" t="inlineStr">
        <is>
          <t>Haraki Imóveis</t>
        </is>
      </c>
      <c r="D756" s="13" t="inlineStr"/>
      <c r="E756" s="13" t="inlineStr">
        <is>
          <t>Imóvel</t>
        </is>
      </c>
      <c r="F756" s="13" t="inlineStr">
        <is>
          <t>Rua Pioneiro Domingos Errerias Ernandes, Jardim Fregadolli</t>
        </is>
      </c>
      <c r="G756" s="13" t="n">
        <v>105</v>
      </c>
      <c r="H756" s="13" t="n">
        <v>1</v>
      </c>
      <c r="I756" s="13" t="n">
        <v>3</v>
      </c>
      <c r="K756" s="13" t="n">
        <v>2</v>
      </c>
      <c r="L756" s="13" t="n">
        <v>750000</v>
      </c>
      <c r="M756" s="13" t="inlineStr">
        <is>
          <t>Ref: 00000104 | https://harakiimoveis.com.br/imovel/00000104/</t>
        </is>
      </c>
      <c r="N756" s="13" t="inlineStr">
        <is>
          <t>Novo</t>
        </is>
      </c>
      <c r="O756" s="13" t="inlineStr"/>
    </row>
    <row r="757">
      <c r="A757" s="13" t="inlineStr">
        <is>
          <t>2026-06-28</t>
        </is>
      </c>
      <c r="B757" s="13" t="inlineStr">
        <is>
          <t>harakiimoveis.com.br</t>
        </is>
      </c>
      <c r="C757" s="13" t="inlineStr">
        <is>
          <t>Haraki Imóveis</t>
        </is>
      </c>
      <c r="D757" s="13" t="inlineStr"/>
      <c r="E757" s="13" t="inlineStr">
        <is>
          <t>Imóvel</t>
        </is>
      </c>
      <c r="F757" s="13" t="inlineStr">
        <is>
          <t>Estrada Romeirinha, 2413, C-48, Jardins de Monet Residence</t>
        </is>
      </c>
      <c r="G757" s="13" t="n">
        <v>536</v>
      </c>
      <c r="H757" s="13" t="inlineStr"/>
      <c r="I757" s="13" t="inlineStr"/>
      <c r="K757" s="13" t="inlineStr"/>
      <c r="L757" s="13" t="n">
        <v>750000</v>
      </c>
      <c r="M757" s="13" t="inlineStr">
        <is>
          <t>Ref: 00000242 | https://harakiimoveis.com.br/imovel/00000242/</t>
        </is>
      </c>
      <c r="N757" s="13" t="inlineStr">
        <is>
          <t>Novo</t>
        </is>
      </c>
      <c r="O757" s="13" t="inlineStr"/>
    </row>
    <row r="758">
      <c r="A758" s="13" t="inlineStr">
        <is>
          <t>2026-06-28</t>
        </is>
      </c>
      <c r="B758" s="13" t="inlineStr">
        <is>
          <t>harakiimoveis.com.br</t>
        </is>
      </c>
      <c r="C758" s="13" t="inlineStr">
        <is>
          <t>Haraki Imóveis</t>
        </is>
      </c>
      <c r="D758" s="13" t="inlineStr"/>
      <c r="E758" s="13" t="inlineStr">
        <is>
          <t>Imóvel</t>
        </is>
      </c>
      <c r="F758" s="13" t="inlineStr">
        <is>
          <t>Rua Divino Bortolotto, 527, Jardim Cidade Monções</t>
        </is>
      </c>
      <c r="G758" s="13" t="n">
        <v>216.3</v>
      </c>
      <c r="H758" s="13" t="n">
        <v>1</v>
      </c>
      <c r="I758" s="13" t="n">
        <v>2</v>
      </c>
      <c r="K758" s="13" t="n">
        <v>2</v>
      </c>
      <c r="L758" s="13" t="n">
        <v>750000</v>
      </c>
      <c r="M758" s="13" t="inlineStr">
        <is>
          <t>Ref: 00000500 | https://harakiimoveis.com.br/imovel/00000500/</t>
        </is>
      </c>
      <c r="N758" s="13" t="inlineStr">
        <is>
          <t>Novo</t>
        </is>
      </c>
      <c r="O758" s="13" t="inlineStr"/>
    </row>
    <row r="759">
      <c r="A759" s="13" t="inlineStr">
        <is>
          <t>2026-06-28</t>
        </is>
      </c>
      <c r="B759" s="13" t="inlineStr">
        <is>
          <t>harakiimoveis.com.br</t>
        </is>
      </c>
      <c r="C759" s="13" t="inlineStr">
        <is>
          <t>Haraki Imóveis</t>
        </is>
      </c>
      <c r="D759" s="13" t="inlineStr"/>
      <c r="E759" s="13" t="inlineStr">
        <is>
          <t>Imóvel</t>
        </is>
      </c>
      <c r="F759" s="13" t="inlineStr">
        <is>
          <t>Travessa Nazaré, 48, Zona 06</t>
        </is>
      </c>
      <c r="G759" s="13" t="n">
        <v>188.53</v>
      </c>
      <c r="H759" s="13" t="n">
        <v>3</v>
      </c>
      <c r="I759" s="13" t="n">
        <v>1</v>
      </c>
      <c r="K759" s="13" t="inlineStr"/>
      <c r="L759" s="13" t="n">
        <v>750000</v>
      </c>
      <c r="M759" s="13" t="inlineStr">
        <is>
          <t>Ref: 00000512 | https://harakiimoveis.com.br/imovel/00000512/</t>
        </is>
      </c>
      <c r="N759" s="13" t="inlineStr">
        <is>
          <t>Novo</t>
        </is>
      </c>
      <c r="O759" s="13" t="inlineStr"/>
    </row>
    <row r="760">
      <c r="A760" s="13" t="inlineStr">
        <is>
          <t>2026-06-28</t>
        </is>
      </c>
      <c r="B760" s="13" t="inlineStr">
        <is>
          <t>harakiimoveis.com.br</t>
        </is>
      </c>
      <c r="C760" s="13" t="inlineStr">
        <is>
          <t>Haraki Imóveis</t>
        </is>
      </c>
      <c r="D760" s="13" t="inlineStr"/>
      <c r="E760" s="13" t="inlineStr">
        <is>
          <t>Imóvel</t>
        </is>
      </c>
      <c r="F760" s="13" t="inlineStr">
        <is>
          <t>Rua Jouji Nakamura, 431, Jardim Novo Horizonte</t>
        </is>
      </c>
      <c r="G760" s="13" t="n">
        <v>173</v>
      </c>
      <c r="H760" s="13" t="n">
        <v>1</v>
      </c>
      <c r="I760" s="13" t="n">
        <v>3</v>
      </c>
      <c r="K760" s="13" t="n">
        <v>2</v>
      </c>
      <c r="L760" s="13" t="n">
        <v>759000</v>
      </c>
      <c r="M760" s="13" t="inlineStr">
        <is>
          <t>Ref: 00000036 | https://harakiimoveis.com.br/imovel/00000036/</t>
        </is>
      </c>
      <c r="N760" s="13" t="inlineStr">
        <is>
          <t>Novo</t>
        </is>
      </c>
      <c r="O760" s="13" t="inlineStr"/>
    </row>
    <row r="761">
      <c r="A761" s="13" t="inlineStr">
        <is>
          <t>2026-06-28</t>
        </is>
      </c>
      <c r="B761" s="13" t="inlineStr">
        <is>
          <t>harakiimoveis.com.br</t>
        </is>
      </c>
      <c r="C761" s="13" t="inlineStr">
        <is>
          <t>Haraki Imóveis</t>
        </is>
      </c>
      <c r="D761" s="13" t="inlineStr"/>
      <c r="E761" s="13" t="inlineStr">
        <is>
          <t>Imóvel</t>
        </is>
      </c>
      <c r="F761" s="13" t="inlineStr">
        <is>
          <t>Rua Pioneiro Franklin Roosevelt Canan, Jardim Espanha</t>
        </is>
      </c>
      <c r="G761" s="13" t="n">
        <v>133</v>
      </c>
      <c r="H761" s="13" t="n">
        <v>1</v>
      </c>
      <c r="I761" s="13" t="n">
        <v>3</v>
      </c>
      <c r="K761" s="13" t="n">
        <v>2</v>
      </c>
      <c r="L761" s="13" t="n">
        <v>780000</v>
      </c>
      <c r="M761" s="13" t="inlineStr">
        <is>
          <t>Ref: 00000083 | https://harakiimoveis.com.br/imovel/00000083/</t>
        </is>
      </c>
      <c r="N761" s="13" t="inlineStr">
        <is>
          <t>Novo</t>
        </is>
      </c>
      <c r="O761" s="13" t="inlineStr"/>
    </row>
    <row r="762">
      <c r="A762" s="13" t="inlineStr">
        <is>
          <t>2026-06-28</t>
        </is>
      </c>
      <c r="B762" s="13" t="inlineStr">
        <is>
          <t>harakiimoveis.com.br</t>
        </is>
      </c>
      <c r="C762" s="13" t="inlineStr">
        <is>
          <t>Haraki Imóveis</t>
        </is>
      </c>
      <c r="D762" s="13" t="inlineStr"/>
      <c r="E762" s="13" t="inlineStr">
        <is>
          <t>Imóvel</t>
        </is>
      </c>
      <c r="F762" s="13" t="inlineStr">
        <is>
          <t>Rua Marechal Floriano Peixoto, 1488, Zona 07</t>
        </is>
      </c>
      <c r="G762" s="13" t="n">
        <v>127</v>
      </c>
      <c r="H762" s="13" t="n">
        <v>1</v>
      </c>
      <c r="I762" s="13" t="n">
        <v>4</v>
      </c>
      <c r="K762" s="13" t="n">
        <v>2</v>
      </c>
      <c r="L762" s="13" t="n">
        <v>780000</v>
      </c>
      <c r="M762" s="13" t="inlineStr">
        <is>
          <t>Ref: 00000195 | Portal do Sol | https://harakiimoveis.com.br/imovel/00000195/</t>
        </is>
      </c>
      <c r="N762" s="13" t="inlineStr">
        <is>
          <t>Novo</t>
        </is>
      </c>
      <c r="O762" s="13" t="inlineStr"/>
    </row>
    <row r="763">
      <c r="A763" s="13" t="inlineStr">
        <is>
          <t>2026-06-28</t>
        </is>
      </c>
      <c r="B763" s="13" t="inlineStr">
        <is>
          <t>harakiimoveis.com.br</t>
        </is>
      </c>
      <c r="C763" s="13" t="inlineStr">
        <is>
          <t>Haraki Imóveis</t>
        </is>
      </c>
      <c r="D763" s="13" t="inlineStr"/>
      <c r="E763" s="13" t="inlineStr">
        <is>
          <t>Imóvel</t>
        </is>
      </c>
      <c r="F763" s="13" t="inlineStr">
        <is>
          <t>Rua Jequitibá, 220, Parque das Bandeiras</t>
        </is>
      </c>
      <c r="G763" s="13" t="n">
        <v>124</v>
      </c>
      <c r="H763" s="13" t="n">
        <v>1</v>
      </c>
      <c r="I763" s="13" t="n">
        <v>3</v>
      </c>
      <c r="K763" s="13" t="n">
        <v>2</v>
      </c>
      <c r="L763" s="13" t="n">
        <v>780000</v>
      </c>
      <c r="M763" s="13" t="inlineStr">
        <is>
          <t>Ref: 00000260 | https://harakiimoveis.com.br/imovel/00000260/</t>
        </is>
      </c>
      <c r="N763" s="13" t="inlineStr">
        <is>
          <t>Novo</t>
        </is>
      </c>
      <c r="O763" s="13" t="inlineStr"/>
    </row>
    <row r="764">
      <c r="A764" s="13" t="inlineStr">
        <is>
          <t>2026-06-28</t>
        </is>
      </c>
      <c r="B764" s="13" t="inlineStr">
        <is>
          <t>harakiimoveis.com.br</t>
        </is>
      </c>
      <c r="C764" s="13" t="inlineStr">
        <is>
          <t>Haraki Imóveis</t>
        </is>
      </c>
      <c r="D764" s="13" t="inlineStr"/>
      <c r="E764" s="13" t="inlineStr">
        <is>
          <t>Imóvel</t>
        </is>
      </c>
      <c r="F764" s="13" t="inlineStr">
        <is>
          <t>Avenida Carneiro Leão, 563, Zona Armazem</t>
        </is>
      </c>
      <c r="G764" s="13" t="n">
        <v>58.37</v>
      </c>
      <c r="H764" s="13" t="n">
        <v>3</v>
      </c>
      <c r="I764" s="13" t="n">
        <v>2</v>
      </c>
      <c r="K764" s="13" t="n">
        <v>1</v>
      </c>
      <c r="L764" s="13" t="n">
        <v>780000</v>
      </c>
      <c r="M764" s="13" t="inlineStr">
        <is>
          <t>Ref: 00000438 | Le Monde | https://harakiimoveis.com.br/imovel/00000438/</t>
        </is>
      </c>
      <c r="N764" s="13" t="inlineStr">
        <is>
          <t>Novo</t>
        </is>
      </c>
      <c r="O764" s="13" t="inlineStr"/>
    </row>
    <row r="765">
      <c r="A765" s="13" t="inlineStr">
        <is>
          <t>2026-06-28</t>
        </is>
      </c>
      <c r="B765" s="13" t="inlineStr">
        <is>
          <t>harakiimoveis.com.br</t>
        </is>
      </c>
      <c r="C765" s="13" t="inlineStr">
        <is>
          <t>Haraki Imóveis</t>
        </is>
      </c>
      <c r="D765" s="13" t="inlineStr"/>
      <c r="E765" s="13" t="inlineStr">
        <is>
          <t>Imóvel</t>
        </is>
      </c>
      <c r="F765" s="13" t="inlineStr">
        <is>
          <t>Rua Neo Alves Martins, 1185, Zona 03</t>
        </is>
      </c>
      <c r="G765" s="13" t="n">
        <v>109.19</v>
      </c>
      <c r="H765" s="13" t="n">
        <v>1</v>
      </c>
      <c r="I765" s="13" t="n">
        <v>2</v>
      </c>
      <c r="K765" s="13" t="n">
        <v>2</v>
      </c>
      <c r="L765" s="13" t="n">
        <v>790000</v>
      </c>
      <c r="M765" s="13" t="inlineStr">
        <is>
          <t>Ref: 00000495 | Residencial Buzatto | https://harakiimoveis.com.br/imovel/00000495/</t>
        </is>
      </c>
      <c r="N765" s="13" t="inlineStr">
        <is>
          <t>Novo</t>
        </is>
      </c>
      <c r="O765" s="13" t="inlineStr"/>
    </row>
    <row r="766">
      <c r="A766" s="13" t="inlineStr">
        <is>
          <t>2026-06-28</t>
        </is>
      </c>
      <c r="B766" s="13" t="inlineStr">
        <is>
          <t>harakiimoveis.com.br</t>
        </is>
      </c>
      <c r="C766" s="13" t="inlineStr">
        <is>
          <t>Haraki Imóveis</t>
        </is>
      </c>
      <c r="D766" s="13" t="inlineStr"/>
      <c r="E766" s="13" t="inlineStr">
        <is>
          <t>Imóvel</t>
        </is>
      </c>
      <c r="F766" s="13" t="inlineStr">
        <is>
          <t>Rua 28 de Junho, Jardim Tupinamba</t>
        </is>
      </c>
      <c r="G766" s="13" t="n">
        <v>602</v>
      </c>
      <c r="H766" s="13" t="inlineStr"/>
      <c r="I766" s="13" t="inlineStr"/>
      <c r="K766" s="13" t="inlineStr"/>
      <c r="L766" s="13" t="n">
        <v>800000</v>
      </c>
      <c r="M766" s="13" t="inlineStr">
        <is>
          <t>Ref: 00000038 | https://harakiimoveis.com.br/imovel/00000038/</t>
        </is>
      </c>
      <c r="N766" s="13" t="inlineStr">
        <is>
          <t>Novo</t>
        </is>
      </c>
      <c r="O766" s="13" t="inlineStr"/>
    </row>
    <row r="767">
      <c r="A767" s="13" t="inlineStr">
        <is>
          <t>2026-06-28</t>
        </is>
      </c>
      <c r="B767" s="13" t="inlineStr">
        <is>
          <t>harakiimoveis.com.br</t>
        </is>
      </c>
      <c r="C767" s="13" t="inlineStr">
        <is>
          <t>Haraki Imóveis</t>
        </is>
      </c>
      <c r="D767" s="13" t="inlineStr"/>
      <c r="E767" s="13" t="inlineStr">
        <is>
          <t>Imóvel</t>
        </is>
      </c>
      <c r="F767" s="13" t="inlineStr">
        <is>
          <t>Rua Pioneiro Carlos João Basso, 650, Jardim Itália II</t>
        </is>
      </c>
      <c r="G767" s="13" t="n">
        <v>105</v>
      </c>
      <c r="H767" s="13" t="n">
        <v>1</v>
      </c>
      <c r="I767" s="13" t="n">
        <v>2</v>
      </c>
      <c r="K767" s="13" t="n">
        <v>2</v>
      </c>
      <c r="L767" s="13" t="n">
        <v>800000</v>
      </c>
      <c r="M767" s="13" t="inlineStr">
        <is>
          <t>Ref: 00000408 | https://harakiimoveis.com.br/imovel/00000408/</t>
        </is>
      </c>
      <c r="N767" s="13" t="inlineStr">
        <is>
          <t>Novo</t>
        </is>
      </c>
      <c r="O767" s="13" t="inlineStr"/>
    </row>
    <row r="768">
      <c r="A768" s="13" t="inlineStr">
        <is>
          <t>2026-06-28</t>
        </is>
      </c>
      <c r="B768" s="13" t="inlineStr">
        <is>
          <t>harakiimoveis.com.br</t>
        </is>
      </c>
      <c r="C768" s="13" t="inlineStr">
        <is>
          <t>Haraki Imóveis</t>
        </is>
      </c>
      <c r="D768" s="13" t="inlineStr"/>
      <c r="E768" s="13" t="inlineStr">
        <is>
          <t>Imóvel</t>
        </is>
      </c>
      <c r="F768" s="13" t="inlineStr">
        <is>
          <t>Rua Quintino Bocaiúva, 778, Zona 07</t>
        </is>
      </c>
      <c r="G768" s="13" t="n">
        <v>600</v>
      </c>
      <c r="H768" s="13" t="inlineStr"/>
      <c r="I768" s="13" t="inlineStr"/>
      <c r="K768" s="13" t="inlineStr"/>
      <c r="L768" s="13" t="n">
        <v>845000</v>
      </c>
      <c r="M768" s="13" t="inlineStr">
        <is>
          <t>Ref: 00000381 | https://harakiimoveis.com.br/imovel/00000381/</t>
        </is>
      </c>
      <c r="N768" s="13" t="inlineStr">
        <is>
          <t>Novo</t>
        </is>
      </c>
      <c r="O768" s="13" t="inlineStr"/>
    </row>
    <row r="769">
      <c r="A769" s="13" t="inlineStr">
        <is>
          <t>2026-06-28</t>
        </is>
      </c>
      <c r="B769" s="13" t="inlineStr">
        <is>
          <t>harakiimoveis.com.br</t>
        </is>
      </c>
      <c r="C769" s="13" t="inlineStr">
        <is>
          <t>Haraki Imóveis</t>
        </is>
      </c>
      <c r="D769" s="13" t="inlineStr"/>
      <c r="E769" s="13" t="inlineStr">
        <is>
          <t>Imóvel</t>
        </is>
      </c>
      <c r="F769" s="13" t="inlineStr">
        <is>
          <t>Estrada Estrada 200, Parque Industrial 200</t>
        </is>
      </c>
      <c r="G769" s="13" t="n">
        <v>1000</v>
      </c>
      <c r="H769" s="13" t="inlineStr"/>
      <c r="I769" s="13" t="inlineStr"/>
      <c r="K769" s="13" t="inlineStr"/>
      <c r="L769" s="13" t="n">
        <v>850000</v>
      </c>
      <c r="M769" s="13" t="inlineStr">
        <is>
          <t>Ref: 00000028 | https://harakiimoveis.com.br/imovel/00000028/</t>
        </is>
      </c>
      <c r="N769" s="13" t="inlineStr">
        <is>
          <t>Novo</t>
        </is>
      </c>
      <c r="O769" s="13" t="inlineStr"/>
    </row>
    <row r="770">
      <c r="A770" s="13" t="inlineStr">
        <is>
          <t>2026-06-28</t>
        </is>
      </c>
      <c r="B770" s="13" t="inlineStr">
        <is>
          <t>harakiimoveis.com.br</t>
        </is>
      </c>
      <c r="C770" s="13" t="inlineStr">
        <is>
          <t>Haraki Imóveis</t>
        </is>
      </c>
      <c r="D770" s="13" t="inlineStr"/>
      <c r="E770" s="13" t="inlineStr">
        <is>
          <t>Imóvel</t>
        </is>
      </c>
      <c r="F770" s="13" t="inlineStr">
        <is>
          <t>Rua Rui Barbosa, 468, Zona 07</t>
        </is>
      </c>
      <c r="G770" s="13" t="n">
        <v>243</v>
      </c>
      <c r="H770" s="13" t="n">
        <v>3</v>
      </c>
      <c r="I770" s="13" t="n">
        <v>5</v>
      </c>
      <c r="K770" s="13" t="n">
        <v>3</v>
      </c>
      <c r="L770" s="13" t="n">
        <v>880000</v>
      </c>
      <c r="M770" s="13" t="inlineStr">
        <is>
          <t>Ref: 00000293 | Saint Louis | https://harakiimoveis.com.br/imovel/00000293/</t>
        </is>
      </c>
      <c r="N770" s="13" t="inlineStr">
        <is>
          <t>Novo</t>
        </is>
      </c>
      <c r="O770" s="13" t="inlineStr"/>
    </row>
    <row r="771">
      <c r="A771" s="13" t="inlineStr">
        <is>
          <t>2026-06-28</t>
        </is>
      </c>
      <c r="B771" s="13" t="inlineStr">
        <is>
          <t>harakiimoveis.com.br</t>
        </is>
      </c>
      <c r="C771" s="13" t="inlineStr">
        <is>
          <t>Haraki Imóveis</t>
        </is>
      </c>
      <c r="D771" s="13" t="inlineStr"/>
      <c r="E771" s="13" t="inlineStr">
        <is>
          <t>Imóvel</t>
        </is>
      </c>
      <c r="F771" s="13" t="inlineStr">
        <is>
          <t>Rua Anhangüera, 145, Zona 03</t>
        </is>
      </c>
      <c r="G771" s="13" t="n">
        <v>255</v>
      </c>
      <c r="H771" s="13" t="inlineStr"/>
      <c r="I771" s="13" t="inlineStr"/>
      <c r="K771" s="13" t="inlineStr"/>
      <c r="L771" s="13" t="n">
        <v>890000</v>
      </c>
      <c r="M771" s="13" t="inlineStr">
        <is>
          <t>Ref: 00000010 | https://harakiimoveis.com.br/imovel/00000010/</t>
        </is>
      </c>
      <c r="N771" s="13" t="inlineStr">
        <is>
          <t>Novo</t>
        </is>
      </c>
      <c r="O771" s="13" t="inlineStr"/>
    </row>
    <row r="772">
      <c r="A772" s="13" t="inlineStr">
        <is>
          <t>2026-06-28</t>
        </is>
      </c>
      <c r="B772" s="13" t="inlineStr">
        <is>
          <t>harakiimoveis.com.br</t>
        </is>
      </c>
      <c r="C772" s="13" t="inlineStr">
        <is>
          <t>Haraki Imóveis</t>
        </is>
      </c>
      <c r="D772" s="13" t="inlineStr"/>
      <c r="E772" s="13" t="inlineStr">
        <is>
          <t>Imóvel</t>
        </is>
      </c>
      <c r="F772" s="13" t="inlineStr">
        <is>
          <t>Rua Jouji Nakamura, 616, Jardim Novo Horizonte</t>
        </is>
      </c>
      <c r="G772" s="13" t="n">
        <v>148</v>
      </c>
      <c r="H772" s="13" t="n">
        <v>1</v>
      </c>
      <c r="I772" s="13" t="n">
        <v>2</v>
      </c>
      <c r="K772" s="13" t="n">
        <v>3</v>
      </c>
      <c r="L772" s="13" t="n">
        <v>890000</v>
      </c>
      <c r="M772" s="13" t="inlineStr">
        <is>
          <t>Ref: 00000112 | https://harakiimoveis.com.br/imovel/00000112/</t>
        </is>
      </c>
      <c r="N772" s="13" t="inlineStr">
        <is>
          <t>Novo</t>
        </is>
      </c>
      <c r="O772" s="13" t="inlineStr"/>
    </row>
    <row r="773">
      <c r="A773" s="13" t="inlineStr">
        <is>
          <t>2026-06-28</t>
        </is>
      </c>
      <c r="B773" s="13" t="inlineStr">
        <is>
          <t>harakiimoveis.com.br</t>
        </is>
      </c>
      <c r="C773" s="13" t="inlineStr">
        <is>
          <t>Haraki Imóveis</t>
        </is>
      </c>
      <c r="D773" s="13" t="inlineStr"/>
      <c r="E773" s="13" t="inlineStr">
        <is>
          <t>Imóvel</t>
        </is>
      </c>
      <c r="F773" s="13" t="inlineStr">
        <is>
          <t>Rua Tonico e Tinoco, 155, Jardim Espanha</t>
        </is>
      </c>
      <c r="G773" s="13" t="n">
        <v>149</v>
      </c>
      <c r="H773" s="13" t="n">
        <v>1</v>
      </c>
      <c r="I773" s="13" t="n">
        <v>3</v>
      </c>
      <c r="K773" s="13" t="n">
        <v>3</v>
      </c>
      <c r="L773" s="13" t="n">
        <v>890000</v>
      </c>
      <c r="M773" s="13" t="inlineStr">
        <is>
          <t>Ref: 00000280 | https://harakiimoveis.com.br/imovel/00000280/</t>
        </is>
      </c>
      <c r="N773" s="13" t="inlineStr">
        <is>
          <t>Novo</t>
        </is>
      </c>
      <c r="O773" s="13" t="inlineStr"/>
    </row>
    <row r="774">
      <c r="A774" s="13" t="inlineStr">
        <is>
          <t>2026-06-28</t>
        </is>
      </c>
      <c r="B774" s="13" t="inlineStr">
        <is>
          <t>harakiimoveis.com.br</t>
        </is>
      </c>
      <c r="C774" s="13" t="inlineStr">
        <is>
          <t>Haraki Imóveis</t>
        </is>
      </c>
      <c r="D774" s="13" t="inlineStr"/>
      <c r="E774" s="13" t="inlineStr">
        <is>
          <t>Imóvel</t>
        </is>
      </c>
      <c r="F774" s="13" t="inlineStr">
        <is>
          <t>Rua São Lourenço, 447, Jardim Alvorada</t>
        </is>
      </c>
      <c r="G774" s="13" t="n">
        <v>150</v>
      </c>
      <c r="H774" s="13" t="n">
        <v>2</v>
      </c>
      <c r="I774" s="13" t="n">
        <v>3</v>
      </c>
      <c r="K774" s="13" t="n">
        <v>2</v>
      </c>
      <c r="L774" s="13" t="n">
        <v>890000</v>
      </c>
      <c r="M774" s="13" t="inlineStr">
        <is>
          <t>Ref: 00000402 | https://harakiimoveis.com.br/imovel/00000402/</t>
        </is>
      </c>
      <c r="N774" s="13" t="inlineStr">
        <is>
          <t>Novo</t>
        </is>
      </c>
      <c r="O774" s="13" t="inlineStr"/>
    </row>
    <row r="775">
      <c r="A775" s="13" t="inlineStr">
        <is>
          <t>2026-06-28</t>
        </is>
      </c>
      <c r="B775" s="13" t="inlineStr">
        <is>
          <t>harakiimoveis.com.br</t>
        </is>
      </c>
      <c r="C775" s="13" t="inlineStr">
        <is>
          <t>Haraki Imóveis</t>
        </is>
      </c>
      <c r="D775" s="13" t="inlineStr"/>
      <c r="E775" s="13" t="inlineStr">
        <is>
          <t>Imóvel</t>
        </is>
      </c>
      <c r="F775" s="13" t="inlineStr">
        <is>
          <t>Rua Teixeira de Freitas, 20, Zona 05</t>
        </is>
      </c>
      <c r="G775" s="13" t="n">
        <v>171.25</v>
      </c>
      <c r="H775" s="13" t="n">
        <v>1</v>
      </c>
      <c r="I775" s="13" t="n">
        <v>2</v>
      </c>
      <c r="K775" s="13" t="n">
        <v>1</v>
      </c>
      <c r="L775" s="13" t="n">
        <v>900000</v>
      </c>
      <c r="M775" s="13" t="inlineStr">
        <is>
          <t>Ref: 00000479 | https://harakiimoveis.com.br/imovel/00000479/</t>
        </is>
      </c>
      <c r="N775" s="13" t="inlineStr">
        <is>
          <t>Novo</t>
        </is>
      </c>
      <c r="O775" s="13" t="inlineStr"/>
    </row>
    <row r="776">
      <c r="A776" s="13" t="inlineStr">
        <is>
          <t>2026-06-28</t>
        </is>
      </c>
      <c r="B776" s="13" t="inlineStr">
        <is>
          <t>harakiimoveis.com.br</t>
        </is>
      </c>
      <c r="C776" s="13" t="inlineStr">
        <is>
          <t>Haraki Imóveis</t>
        </is>
      </c>
      <c r="D776" s="13" t="inlineStr"/>
      <c r="E776" s="13" t="inlineStr">
        <is>
          <t>Imóvel</t>
        </is>
      </c>
      <c r="F776" s="13" t="inlineStr">
        <is>
          <t>Rua Pioneira Nair dos Santos Tavares, 14, Jardim Parque do Horto</t>
        </is>
      </c>
      <c r="G776" s="13" t="n">
        <v>210</v>
      </c>
      <c r="H776" s="13" t="n">
        <v>3</v>
      </c>
      <c r="I776" s="13" t="n">
        <v>4</v>
      </c>
      <c r="K776" s="13" t="n">
        <v>2</v>
      </c>
      <c r="L776" s="13" t="n">
        <v>900000</v>
      </c>
      <c r="M776" s="13" t="inlineStr">
        <is>
          <t>Ref: 00000480 | https://harakiimoveis.com.br/imovel/00000480/</t>
        </is>
      </c>
      <c r="N776" s="13" t="inlineStr">
        <is>
          <t>Novo</t>
        </is>
      </c>
      <c r="O776" s="13" t="inlineStr"/>
    </row>
    <row r="777">
      <c r="A777" s="13" t="inlineStr">
        <is>
          <t>2026-06-28</t>
        </is>
      </c>
      <c r="B777" s="13" t="inlineStr">
        <is>
          <t>harakiimoveis.com.br</t>
        </is>
      </c>
      <c r="C777" s="13" t="inlineStr">
        <is>
          <t>Haraki Imóveis</t>
        </is>
      </c>
      <c r="D777" s="13" t="inlineStr"/>
      <c r="E777" s="13" t="inlineStr">
        <is>
          <t>Imóvel</t>
        </is>
      </c>
      <c r="F777" s="13" t="inlineStr">
        <is>
          <t>Rua Barroso, 234, Zona 03</t>
        </is>
      </c>
      <c r="G777" s="13" t="n">
        <v>83</v>
      </c>
      <c r="H777" s="13" t="n">
        <v>1</v>
      </c>
      <c r="I777" s="13" t="n">
        <v>2</v>
      </c>
      <c r="K777" s="13" t="inlineStr"/>
      <c r="L777" s="13" t="n">
        <v>930000</v>
      </c>
      <c r="M777" s="13" t="inlineStr">
        <is>
          <t>Ref: 00000099 | Mistral | https://harakiimoveis.com.br/imovel/00000099/</t>
        </is>
      </c>
      <c r="N777" s="13" t="inlineStr">
        <is>
          <t>Novo</t>
        </is>
      </c>
      <c r="O777" s="13" t="inlineStr"/>
    </row>
    <row r="778">
      <c r="A778" s="13" t="inlineStr">
        <is>
          <t>2026-06-28</t>
        </is>
      </c>
      <c r="B778" s="13" t="inlineStr">
        <is>
          <t>harakiimoveis.com.br</t>
        </is>
      </c>
      <c r="C778" s="13" t="inlineStr">
        <is>
          <t>Haraki Imóveis</t>
        </is>
      </c>
      <c r="D778" s="13" t="inlineStr"/>
      <c r="E778" s="13" t="inlineStr">
        <is>
          <t>Imóvel</t>
        </is>
      </c>
      <c r="F778" s="13" t="inlineStr">
        <is>
          <t>Rua Vicente Rodrigues da Silva, 509, Jardim Muníque</t>
        </is>
      </c>
      <c r="G778" s="13" t="n">
        <v>138</v>
      </c>
      <c r="H778" s="13" t="n">
        <v>1</v>
      </c>
      <c r="I778" s="13" t="n">
        <v>2</v>
      </c>
      <c r="K778" s="13" t="n">
        <v>4</v>
      </c>
      <c r="L778" s="13" t="n">
        <v>950000</v>
      </c>
      <c r="M778" s="13" t="inlineStr">
        <is>
          <t>Ref: 00000311 | https://harakiimoveis.com.br/imovel/00000311/</t>
        </is>
      </c>
      <c r="N778" s="13" t="inlineStr">
        <is>
          <t>Novo</t>
        </is>
      </c>
      <c r="O778" s="13" t="inlineStr"/>
    </row>
    <row r="779">
      <c r="A779" s="13" t="inlineStr">
        <is>
          <t>2026-06-28</t>
        </is>
      </c>
      <c r="B779" s="13" t="inlineStr">
        <is>
          <t>harakiimoveis.com.br</t>
        </is>
      </c>
      <c r="C779" s="13" t="inlineStr">
        <is>
          <t>Haraki Imóveis</t>
        </is>
      </c>
      <c r="D779" s="13" t="inlineStr"/>
      <c r="E779" s="13" t="inlineStr">
        <is>
          <t>Imóvel</t>
        </is>
      </c>
      <c r="F779" s="13" t="inlineStr">
        <is>
          <t>Rua Rosália Postai Martins, 758, Jardim Muníque</t>
        </is>
      </c>
      <c r="G779" s="13" t="n">
        <v>147.99</v>
      </c>
      <c r="H779" s="13" t="n">
        <v>1</v>
      </c>
      <c r="I779" s="13" t="n">
        <v>2</v>
      </c>
      <c r="K779" s="13" t="n">
        <v>2</v>
      </c>
      <c r="L779" s="13" t="n">
        <v>980000</v>
      </c>
      <c r="M779" s="13" t="inlineStr">
        <is>
          <t>Ref: 00000277 | https://harakiimoveis.com.br/imovel/00000277/</t>
        </is>
      </c>
      <c r="N779" s="13" t="inlineStr">
        <is>
          <t>Novo</t>
        </is>
      </c>
      <c r="O779" s="13" t="inlineStr"/>
    </row>
    <row r="780">
      <c r="A780" s="13" t="inlineStr">
        <is>
          <t>2026-06-28</t>
        </is>
      </c>
      <c r="B780" s="13" t="inlineStr">
        <is>
          <t>harakiimoveis.com.br</t>
        </is>
      </c>
      <c r="C780" s="13" t="inlineStr">
        <is>
          <t>Haraki Imóveis</t>
        </is>
      </c>
      <c r="D780" s="13" t="inlineStr"/>
      <c r="E780" s="13" t="inlineStr">
        <is>
          <t>Imóvel</t>
        </is>
      </c>
      <c r="F780" s="13" t="inlineStr">
        <is>
          <t>Rua Albertino Bento Ribeiro, 160, Jardim Oriental</t>
        </is>
      </c>
      <c r="G780" s="13" t="n">
        <v>170</v>
      </c>
      <c r="H780" s="13" t="n">
        <v>1</v>
      </c>
      <c r="I780" s="13" t="n">
        <v>3</v>
      </c>
      <c r="K780" s="13" t="n">
        <v>4</v>
      </c>
      <c r="L780" s="13" t="n">
        <v>990000</v>
      </c>
      <c r="M780" s="13" t="inlineStr">
        <is>
          <t>Ref: 00000410 | https://harakiimoveis.com.br/imovel/00000410/</t>
        </is>
      </c>
      <c r="N780" s="13" t="inlineStr">
        <is>
          <t>Novo</t>
        </is>
      </c>
      <c r="O780" s="13" t="inlineStr"/>
    </row>
    <row r="781">
      <c r="A781" s="13" t="inlineStr">
        <is>
          <t>2026-06-28</t>
        </is>
      </c>
      <c r="B781" s="13" t="inlineStr">
        <is>
          <t>harakiimoveis.com.br</t>
        </is>
      </c>
      <c r="C781" s="13" t="inlineStr">
        <is>
          <t>Haraki Imóveis</t>
        </is>
      </c>
      <c r="D781" s="13" t="inlineStr"/>
      <c r="E781" s="13" t="inlineStr">
        <is>
          <t>Imóvel</t>
        </is>
      </c>
      <c r="F781" s="13" t="inlineStr">
        <is>
          <t>Rua Umuarama, 317, Zona 08</t>
        </is>
      </c>
      <c r="G781" s="13" t="n">
        <v>401</v>
      </c>
      <c r="H781" s="13" t="inlineStr"/>
      <c r="I781" s="13" t="inlineStr"/>
      <c r="K781" s="13" t="inlineStr"/>
      <c r="L781" s="13" t="n">
        <v>1000000</v>
      </c>
      <c r="M781" s="13" t="inlineStr">
        <is>
          <t>Ref: 00000088 | https://harakiimoveis.com.br/imovel/00000088/</t>
        </is>
      </c>
      <c r="N781" s="13" t="inlineStr">
        <is>
          <t>Novo</t>
        </is>
      </c>
      <c r="O781" s="13" t="inlineStr"/>
    </row>
    <row r="782">
      <c r="A782" s="13" t="inlineStr">
        <is>
          <t>2026-06-28</t>
        </is>
      </c>
      <c r="B782" s="13" t="inlineStr">
        <is>
          <t>harakiimoveis.com.br</t>
        </is>
      </c>
      <c r="C782" s="13" t="inlineStr">
        <is>
          <t>Haraki Imóveis</t>
        </is>
      </c>
      <c r="D782" s="13" t="inlineStr"/>
      <c r="E782" s="13" t="inlineStr">
        <is>
          <t>Imóvel</t>
        </is>
      </c>
      <c r="F782" s="13" t="inlineStr">
        <is>
          <t>Rua Marechal Deodoro, 705, Zona 07</t>
        </is>
      </c>
      <c r="G782" s="13" t="n">
        <v>377</v>
      </c>
      <c r="H782" s="13" t="inlineStr"/>
      <c r="I782" s="13" t="inlineStr"/>
      <c r="K782" s="13" t="inlineStr"/>
      <c r="L782" s="13" t="n">
        <v>1000000</v>
      </c>
      <c r="M782" s="13" t="inlineStr">
        <is>
          <t>Ref: 00000458 | https://harakiimoveis.com.br/imovel/00000458/</t>
        </is>
      </c>
      <c r="N782" s="13" t="inlineStr">
        <is>
          <t>Novo</t>
        </is>
      </c>
      <c r="O782" s="13" t="inlineStr"/>
    </row>
    <row r="783">
      <c r="A783" s="13" t="inlineStr">
        <is>
          <t>2026-06-28</t>
        </is>
      </c>
      <c r="B783" s="13" t="inlineStr">
        <is>
          <t>harakiimoveis.com.br</t>
        </is>
      </c>
      <c r="C783" s="13" t="inlineStr">
        <is>
          <t>Haraki Imóveis</t>
        </is>
      </c>
      <c r="D783" s="13" t="inlineStr"/>
      <c r="E783" s="13" t="inlineStr">
        <is>
          <t>Imóvel</t>
        </is>
      </c>
      <c r="F783" s="13" t="inlineStr">
        <is>
          <t>Rua Colômbia, 2250, Jardim Alvorada</t>
        </is>
      </c>
      <c r="G783" s="13" t="n">
        <v>4310</v>
      </c>
      <c r="H783" s="13" t="inlineStr"/>
      <c r="I783" s="13" t="inlineStr"/>
      <c r="K783" s="13" t="inlineStr"/>
      <c r="L783" s="13" t="n">
        <v>1100000</v>
      </c>
      <c r="M783" s="13" t="inlineStr">
        <is>
          <t>Ref: 00000024 | https://harakiimoveis.com.br/imovel/00000024/</t>
        </is>
      </c>
      <c r="N783" s="13" t="inlineStr">
        <is>
          <t>Novo</t>
        </is>
      </c>
      <c r="O783" s="13" t="inlineStr"/>
    </row>
    <row r="784">
      <c r="A784" s="13" t="inlineStr">
        <is>
          <t>2026-06-28</t>
        </is>
      </c>
      <c r="B784" s="13" t="inlineStr">
        <is>
          <t>harakiimoveis.com.br</t>
        </is>
      </c>
      <c r="C784" s="13" t="inlineStr">
        <is>
          <t>Haraki Imóveis</t>
        </is>
      </c>
      <c r="D784" s="13" t="inlineStr"/>
      <c r="E784" s="13" t="inlineStr">
        <is>
          <t>Imóvel</t>
        </is>
      </c>
      <c r="F784" s="13" t="inlineStr">
        <is>
          <t>Rua Nassib Haddad, 490, Zona 05</t>
        </is>
      </c>
      <c r="G784" s="13" t="n">
        <v>610</v>
      </c>
      <c r="H784" s="13" t="inlineStr"/>
      <c r="I784" s="13" t="inlineStr"/>
      <c r="K784" s="13" t="inlineStr"/>
      <c r="L784" s="13" t="n">
        <v>1100000</v>
      </c>
      <c r="M784" s="13" t="inlineStr">
        <is>
          <t>Ref: 00000358 | https://harakiimoveis.com.br/imovel/00000358/</t>
        </is>
      </c>
      <c r="N784" s="13" t="inlineStr">
        <is>
          <t>Novo</t>
        </is>
      </c>
      <c r="O784" s="13" t="inlineStr"/>
    </row>
    <row r="785">
      <c r="A785" s="13" t="inlineStr">
        <is>
          <t>2026-06-28</t>
        </is>
      </c>
      <c r="B785" s="13" t="inlineStr">
        <is>
          <t>harakiimoveis.com.br</t>
        </is>
      </c>
      <c r="C785" s="13" t="inlineStr">
        <is>
          <t>Haraki Imóveis</t>
        </is>
      </c>
      <c r="D785" s="13" t="inlineStr"/>
      <c r="E785" s="13" t="inlineStr">
        <is>
          <t>Imóvel</t>
        </is>
      </c>
      <c r="F785" s="13" t="inlineStr">
        <is>
          <t>Rua Arthur Thomas, 942, Zona 01 - Centro</t>
        </is>
      </c>
      <c r="G785" s="13" t="n">
        <v>210</v>
      </c>
      <c r="H785" s="13" t="n">
        <v>2</v>
      </c>
      <c r="I785" s="13" t="n">
        <v>5</v>
      </c>
      <c r="K785" s="13" t="n">
        <v>2</v>
      </c>
      <c r="L785" s="13" t="n">
        <v>1150000</v>
      </c>
      <c r="M785" s="13" t="inlineStr">
        <is>
          <t>Ref: 00000044 | Sierra Nevada | https://harakiimoveis.com.br/imovel/00000044/</t>
        </is>
      </c>
      <c r="N785" s="13" t="inlineStr">
        <is>
          <t>Novo</t>
        </is>
      </c>
      <c r="O785" s="13" t="inlineStr"/>
    </row>
    <row r="786">
      <c r="A786" s="13" t="inlineStr">
        <is>
          <t>2026-06-28</t>
        </is>
      </c>
      <c r="B786" s="13" t="inlineStr">
        <is>
          <t>harakiimoveis.com.br</t>
        </is>
      </c>
      <c r="C786" s="13" t="inlineStr">
        <is>
          <t>Haraki Imóveis</t>
        </is>
      </c>
      <c r="D786" s="13" t="inlineStr"/>
      <c r="E786" s="13" t="inlineStr">
        <is>
          <t>Imóvel</t>
        </is>
      </c>
      <c r="F786" s="13" t="inlineStr">
        <is>
          <t>Rua Pioneira Victalina Delfante Castanha, Jardim Itália</t>
        </is>
      </c>
      <c r="G786" s="13" t="n">
        <v>198</v>
      </c>
      <c r="H786" s="13" t="n">
        <v>1</v>
      </c>
      <c r="I786" s="13" t="n">
        <v>3</v>
      </c>
      <c r="K786" s="13" t="n">
        <v>2</v>
      </c>
      <c r="L786" s="13" t="n">
        <v>1150000</v>
      </c>
      <c r="M786" s="13" t="inlineStr">
        <is>
          <t>Ref: 00000404 | https://harakiimoveis.com.br/imovel/00000404/</t>
        </is>
      </c>
      <c r="N786" s="13" t="inlineStr">
        <is>
          <t>Novo</t>
        </is>
      </c>
      <c r="O786" s="13" t="inlineStr"/>
    </row>
    <row r="787">
      <c r="A787" s="13" t="inlineStr">
        <is>
          <t>2026-06-28</t>
        </is>
      </c>
      <c r="B787" s="13" t="inlineStr">
        <is>
          <t>harakiimoveis.com.br</t>
        </is>
      </c>
      <c r="C787" s="13" t="inlineStr">
        <is>
          <t>Haraki Imóveis</t>
        </is>
      </c>
      <c r="D787" s="13" t="inlineStr"/>
      <c r="E787" s="13" t="inlineStr">
        <is>
          <t>Imóvel</t>
        </is>
      </c>
      <c r="F787" s="13" t="inlineStr">
        <is>
          <t>Rua Carlos Chagas, 1470, Zona 05</t>
        </is>
      </c>
      <c r="G787" s="13" t="n">
        <v>220</v>
      </c>
      <c r="H787" s="13" t="n">
        <v>3</v>
      </c>
      <c r="I787" s="13" t="n">
        <v>4</v>
      </c>
      <c r="K787" s="13" t="n">
        <v>6</v>
      </c>
      <c r="L787" s="13" t="n">
        <v>1190000</v>
      </c>
      <c r="M787" s="13" t="inlineStr">
        <is>
          <t>Ref: 00000012 | https://harakiimoveis.com.br/imovel/00000012/</t>
        </is>
      </c>
      <c r="N787" s="13" t="inlineStr">
        <is>
          <t>Novo</t>
        </is>
      </c>
      <c r="O787" s="13" t="inlineStr"/>
    </row>
    <row r="788">
      <c r="A788" s="13" t="inlineStr">
        <is>
          <t>2026-06-28</t>
        </is>
      </c>
      <c r="B788" s="13" t="inlineStr">
        <is>
          <t>harakiimoveis.com.br</t>
        </is>
      </c>
      <c r="C788" s="13" t="inlineStr">
        <is>
          <t>Haraki Imóveis</t>
        </is>
      </c>
      <c r="D788" s="13" t="inlineStr"/>
      <c r="E788" s="13" t="inlineStr">
        <is>
          <t>Imóvel</t>
        </is>
      </c>
      <c r="F788" s="13" t="inlineStr">
        <is>
          <t>Rua Pioneiro Franklin Roosevelt Canan, 6, Jardim Espanha</t>
        </is>
      </c>
      <c r="G788" s="13" t="n">
        <v>255</v>
      </c>
      <c r="H788" s="13" t="n">
        <v>3</v>
      </c>
      <c r="I788" s="13" t="n">
        <v>4</v>
      </c>
      <c r="K788" s="13" t="n">
        <v>4</v>
      </c>
      <c r="L788" s="13" t="n">
        <v>1200000</v>
      </c>
      <c r="M788" s="13" t="inlineStr">
        <is>
          <t>Ref: 00000045 | https://harakiimoveis.com.br/imovel/00000045/</t>
        </is>
      </c>
      <c r="N788" s="13" t="inlineStr">
        <is>
          <t>Novo</t>
        </is>
      </c>
      <c r="O788" s="13" t="inlineStr"/>
    </row>
    <row r="789">
      <c r="A789" s="13" t="inlineStr">
        <is>
          <t>2026-06-28</t>
        </is>
      </c>
      <c r="B789" s="13" t="inlineStr">
        <is>
          <t>harakiimoveis.com.br</t>
        </is>
      </c>
      <c r="C789" s="13" t="inlineStr">
        <is>
          <t>Haraki Imóveis</t>
        </is>
      </c>
      <c r="D789" s="13" t="inlineStr"/>
      <c r="E789" s="13" t="inlineStr">
        <is>
          <t>Imóvel</t>
        </is>
      </c>
      <c r="F789" s="13" t="inlineStr">
        <is>
          <t>Rua Pioneiro Hideo Toda, 778, Jardim Mediterrâneo</t>
        </is>
      </c>
      <c r="G789" s="13" t="n">
        <v>142</v>
      </c>
      <c r="H789" s="13" t="n">
        <v>3</v>
      </c>
      <c r="I789" s="13" t="n">
        <v>4</v>
      </c>
      <c r="K789" s="13" t="n">
        <v>2</v>
      </c>
      <c r="L789" s="13" t="n">
        <v>1200000</v>
      </c>
      <c r="M789" s="13" t="inlineStr">
        <is>
          <t>Ref: 00000203 | https://harakiimoveis.com.br/imovel/00000203/</t>
        </is>
      </c>
      <c r="N789" s="13" t="inlineStr">
        <is>
          <t>Novo</t>
        </is>
      </c>
      <c r="O789" s="13" t="inlineStr"/>
    </row>
    <row r="790">
      <c r="A790" s="13" t="inlineStr">
        <is>
          <t>2026-06-28</t>
        </is>
      </c>
      <c r="B790" s="13" t="inlineStr">
        <is>
          <t>harakiimoveis.com.br</t>
        </is>
      </c>
      <c r="C790" s="13" t="inlineStr">
        <is>
          <t>Haraki Imóveis</t>
        </is>
      </c>
      <c r="D790" s="13" t="inlineStr"/>
      <c r="E790" s="13" t="inlineStr">
        <is>
          <t>Imóvel</t>
        </is>
      </c>
      <c r="F790" s="13" t="inlineStr">
        <is>
          <t>Avenida Advogado Horácio Raccanello Filho, Zona 07</t>
        </is>
      </c>
      <c r="G790" s="13" t="n">
        <v>162</v>
      </c>
      <c r="H790" s="13" t="n">
        <v>3</v>
      </c>
      <c r="I790" s="13" t="n">
        <v>5</v>
      </c>
      <c r="K790" s="13" t="n">
        <v>2</v>
      </c>
      <c r="L790" s="13" t="n">
        <v>1200000</v>
      </c>
      <c r="M790" s="13" t="inlineStr">
        <is>
          <t>Ref: 00000249 | Gran Duque | https://harakiimoveis.com.br/imovel/00000249/</t>
        </is>
      </c>
      <c r="N790" s="13" t="inlineStr">
        <is>
          <t>Novo</t>
        </is>
      </c>
      <c r="O790" s="13" t="inlineStr"/>
    </row>
    <row r="791">
      <c r="A791" s="13" t="inlineStr">
        <is>
          <t>2026-06-28</t>
        </is>
      </c>
      <c r="B791" s="13" t="inlineStr">
        <is>
          <t>harakiimoveis.com.br</t>
        </is>
      </c>
      <c r="C791" s="13" t="inlineStr">
        <is>
          <t>Haraki Imóveis</t>
        </is>
      </c>
      <c r="D791" s="13" t="inlineStr"/>
      <c r="E791" s="13" t="inlineStr">
        <is>
          <t>Imóvel</t>
        </is>
      </c>
      <c r="F791" s="13" t="inlineStr">
        <is>
          <t>Avenida Carlos Correa Borges, 200, Zona 05</t>
        </is>
      </c>
      <c r="G791" s="13" t="n">
        <v>338.88</v>
      </c>
      <c r="H791" s="13" t="inlineStr"/>
      <c r="I791" s="13" t="inlineStr"/>
      <c r="K791" s="13" t="inlineStr"/>
      <c r="L791" s="13" t="n">
        <v>1200000</v>
      </c>
      <c r="M791" s="13" t="inlineStr">
        <is>
          <t>Ref: 00000478 | https://harakiimoveis.com.br/imovel/00000478/</t>
        </is>
      </c>
      <c r="N791" s="13" t="inlineStr">
        <is>
          <t>Novo</t>
        </is>
      </c>
      <c r="O791" s="13" t="inlineStr"/>
    </row>
    <row r="792">
      <c r="A792" s="13" t="inlineStr">
        <is>
          <t>2026-06-28</t>
        </is>
      </c>
      <c r="B792" s="13" t="inlineStr">
        <is>
          <t>harakiimoveis.com.br</t>
        </is>
      </c>
      <c r="C792" s="13" t="inlineStr">
        <is>
          <t>Haraki Imóveis</t>
        </is>
      </c>
      <c r="D792" s="13" t="inlineStr"/>
      <c r="E792" s="13" t="inlineStr">
        <is>
          <t>Imóvel</t>
        </is>
      </c>
      <c r="F792" s="13" t="inlineStr">
        <is>
          <t>Avenida São Paulo, 2889, Vila Bosque</t>
        </is>
      </c>
      <c r="G792" s="13" t="n">
        <v>93</v>
      </c>
      <c r="H792" s="13" t="n">
        <v>1</v>
      </c>
      <c r="I792" s="13" t="n">
        <v>2</v>
      </c>
      <c r="K792" s="13" t="n">
        <v>2</v>
      </c>
      <c r="L792" s="13" t="n">
        <v>1200000</v>
      </c>
      <c r="M792" s="13" t="inlineStr">
        <is>
          <t>Ref: 00000492 | Soul | https://harakiimoveis.com.br/imovel/00000492/</t>
        </is>
      </c>
      <c r="N792" s="13" t="inlineStr">
        <is>
          <t>Novo</t>
        </is>
      </c>
      <c r="O792" s="13" t="inlineStr"/>
    </row>
    <row r="793">
      <c r="A793" s="13" t="inlineStr">
        <is>
          <t>2026-06-28</t>
        </is>
      </c>
      <c r="B793" s="13" t="inlineStr">
        <is>
          <t>harakiimoveis.com.br</t>
        </is>
      </c>
      <c r="C793" s="13" t="inlineStr">
        <is>
          <t>Haraki Imóveis</t>
        </is>
      </c>
      <c r="D793" s="13" t="inlineStr"/>
      <c r="E793" s="13" t="inlineStr">
        <is>
          <t>Imóvel</t>
        </is>
      </c>
      <c r="F793" s="13" t="inlineStr">
        <is>
          <t>Rua Marcílio Dias, 1068, Zona 03</t>
        </is>
      </c>
      <c r="G793" s="13" t="n">
        <v>111</v>
      </c>
      <c r="H793" s="13" t="n">
        <v>1</v>
      </c>
      <c r="I793" s="13" t="n">
        <v>3</v>
      </c>
      <c r="K793" s="13" t="n">
        <v>2</v>
      </c>
      <c r="L793" s="13" t="n">
        <v>1200000</v>
      </c>
      <c r="M793" s="13" t="inlineStr">
        <is>
          <t>Ref: 00000524 | La Vista | https://harakiimoveis.com.br/imovel/00000524/</t>
        </is>
      </c>
      <c r="N793" s="13" t="inlineStr">
        <is>
          <t>Novo</t>
        </is>
      </c>
      <c r="O793" s="13" t="inlineStr"/>
    </row>
    <row r="794">
      <c r="A794" s="13" t="inlineStr">
        <is>
          <t>2026-06-28</t>
        </is>
      </c>
      <c r="B794" s="13" t="inlineStr">
        <is>
          <t>harakiimoveis.com.br</t>
        </is>
      </c>
      <c r="C794" s="13" t="inlineStr">
        <is>
          <t>Haraki Imóveis</t>
        </is>
      </c>
      <c r="D794" s="13" t="inlineStr"/>
      <c r="E794" s="13" t="inlineStr">
        <is>
          <t>Imóvel</t>
        </is>
      </c>
      <c r="F794" s="13" t="inlineStr">
        <is>
          <t>Rua Marcílio Dias, 1011, Zona 03</t>
        </is>
      </c>
      <c r="G794" s="13" t="n">
        <v>95</v>
      </c>
      <c r="H794" s="13" t="n">
        <v>1</v>
      </c>
      <c r="I794" s="13" t="n">
        <v>2</v>
      </c>
      <c r="K794" s="13" t="n">
        <v>2</v>
      </c>
      <c r="L794" s="13" t="n">
        <v>1250000</v>
      </c>
      <c r="M794" s="13" t="inlineStr">
        <is>
          <t>Ref: 00000303 | Trend | https://harakiimoveis.com.br/imovel/00000303/</t>
        </is>
      </c>
      <c r="N794" s="13" t="inlineStr">
        <is>
          <t>Novo</t>
        </is>
      </c>
      <c r="O794" s="13" t="inlineStr"/>
    </row>
    <row r="795">
      <c r="A795" s="13" t="inlineStr">
        <is>
          <t>2026-06-28</t>
        </is>
      </c>
      <c r="B795" s="13" t="inlineStr">
        <is>
          <t>harakiimoveis.com.br</t>
        </is>
      </c>
      <c r="C795" s="13" t="inlineStr">
        <is>
          <t>Haraki Imóveis</t>
        </is>
      </c>
      <c r="D795" s="13" t="inlineStr"/>
      <c r="E795" s="13" t="inlineStr">
        <is>
          <t>Imóvel</t>
        </is>
      </c>
      <c r="F795" s="13" t="inlineStr">
        <is>
          <t>Avenida Pioneiro Henrique Bula, 1075, Jardim Internorte</t>
        </is>
      </c>
      <c r="G795" s="13" t="n">
        <v>391.85</v>
      </c>
      <c r="H795" s="13" t="inlineStr"/>
      <c r="I795" s="13" t="inlineStr"/>
      <c r="K795" s="13" t="inlineStr"/>
      <c r="L795" s="13" t="n">
        <v>1250000</v>
      </c>
      <c r="M795" s="13" t="inlineStr">
        <is>
          <t>Ref: 00000487 | https://harakiimoveis.com.br/imovel/00000487/</t>
        </is>
      </c>
      <c r="N795" s="13" t="inlineStr">
        <is>
          <t>Novo</t>
        </is>
      </c>
      <c r="O795" s="13" t="inlineStr"/>
    </row>
    <row r="796">
      <c r="A796" s="13" t="inlineStr">
        <is>
          <t>2026-06-28</t>
        </is>
      </c>
      <c r="B796" s="13" t="inlineStr">
        <is>
          <t>harakiimoveis.com.br</t>
        </is>
      </c>
      <c r="C796" s="13" t="inlineStr">
        <is>
          <t>Haraki Imóveis</t>
        </is>
      </c>
      <c r="D796" s="13" t="inlineStr"/>
      <c r="E796" s="13" t="inlineStr">
        <is>
          <t>Imóvel</t>
        </is>
      </c>
      <c r="F796" s="13" t="inlineStr">
        <is>
          <t>Estrada Zaúna, Gleba Ribeirão Sarandi</t>
        </is>
      </c>
      <c r="G796" s="13" t="n">
        <v>4000</v>
      </c>
      <c r="H796" s="13" t="inlineStr"/>
      <c r="I796" s="13" t="inlineStr"/>
      <c r="K796" s="13" t="inlineStr"/>
      <c r="L796" s="13" t="n">
        <v>1300000</v>
      </c>
      <c r="M796" s="13" t="inlineStr">
        <is>
          <t>Ref: 00000009 | Estancia Zauna | https://harakiimoveis.com.br/imovel/00000009/</t>
        </is>
      </c>
      <c r="N796" s="13" t="inlineStr">
        <is>
          <t>Novo</t>
        </is>
      </c>
      <c r="O796" s="13" t="inlineStr"/>
    </row>
    <row r="797">
      <c r="A797" s="13" t="inlineStr">
        <is>
          <t>2026-06-28</t>
        </is>
      </c>
      <c r="B797" s="13" t="inlineStr">
        <is>
          <t>harakiimoveis.com.br</t>
        </is>
      </c>
      <c r="C797" s="13" t="inlineStr">
        <is>
          <t>Haraki Imóveis</t>
        </is>
      </c>
      <c r="D797" s="13" t="inlineStr"/>
      <c r="E797" s="13" t="inlineStr">
        <is>
          <t>Imóvel</t>
        </is>
      </c>
      <c r="F797" s="13" t="inlineStr">
        <is>
          <t>Rua Barroso, 816, Zona 03</t>
        </is>
      </c>
      <c r="G797" s="13" t="n">
        <v>107</v>
      </c>
      <c r="H797" s="13" t="n">
        <v>1</v>
      </c>
      <c r="I797" s="13" t="n">
        <v>3</v>
      </c>
      <c r="K797" s="13" t="n">
        <v>2</v>
      </c>
      <c r="L797" s="13" t="n">
        <v>1300000</v>
      </c>
      <c r="M797" s="13" t="inlineStr">
        <is>
          <t>Ref: 00000225 | Itainga | https://harakiimoveis.com.br/imovel/00000225/</t>
        </is>
      </c>
      <c r="N797" s="13" t="inlineStr">
        <is>
          <t>Novo</t>
        </is>
      </c>
      <c r="O797" s="13" t="inlineStr"/>
    </row>
    <row r="798">
      <c r="A798" s="13" t="inlineStr">
        <is>
          <t>2026-06-28</t>
        </is>
      </c>
      <c r="B798" s="13" t="inlineStr">
        <is>
          <t>harakiimoveis.com.br</t>
        </is>
      </c>
      <c r="C798" s="13" t="inlineStr">
        <is>
          <t>Haraki Imóveis</t>
        </is>
      </c>
      <c r="D798" s="13" t="inlineStr"/>
      <c r="E798" s="13" t="inlineStr">
        <is>
          <t>Imóvel</t>
        </is>
      </c>
      <c r="F798" s="13" t="inlineStr">
        <is>
          <t>Rua Quebec, 497, Jardim Canadá</t>
        </is>
      </c>
      <c r="G798" s="13" t="n">
        <v>162</v>
      </c>
      <c r="H798" s="13" t="n">
        <v>3</v>
      </c>
      <c r="I798" s="13" t="n">
        <v>4</v>
      </c>
      <c r="K798" s="13" t="n">
        <v>2</v>
      </c>
      <c r="L798" s="13" t="n">
        <v>1300000</v>
      </c>
      <c r="M798" s="13" t="inlineStr">
        <is>
          <t>Ref: 00000466 | https://harakiimoveis.com.br/imovel/00000466/</t>
        </is>
      </c>
      <c r="N798" s="13" t="inlineStr">
        <is>
          <t>Novo</t>
        </is>
      </c>
      <c r="O798" s="13" t="inlineStr"/>
    </row>
    <row r="799">
      <c r="A799" s="13" t="inlineStr">
        <is>
          <t>2026-06-28</t>
        </is>
      </c>
      <c r="B799" s="13" t="inlineStr">
        <is>
          <t>harakiimoveis.com.br</t>
        </is>
      </c>
      <c r="C799" s="13" t="inlineStr">
        <is>
          <t>Haraki Imóveis</t>
        </is>
      </c>
      <c r="D799" s="13" t="inlineStr"/>
      <c r="E799" s="13" t="inlineStr">
        <is>
          <t>Imóvel</t>
        </is>
      </c>
      <c r="F799" s="13" t="inlineStr">
        <is>
          <t>Avenida São Paulo, 2889, Vila Bosque</t>
        </is>
      </c>
      <c r="G799" s="13" t="n">
        <v>93</v>
      </c>
      <c r="H799" s="13" t="n">
        <v>1</v>
      </c>
      <c r="I799" s="13" t="n">
        <v>2</v>
      </c>
      <c r="K799" s="13" t="n">
        <v>2</v>
      </c>
      <c r="L799" s="13" t="n">
        <v>1370000</v>
      </c>
      <c r="M799" s="13" t="inlineStr">
        <is>
          <t>Ref: 00000278 | Soul | https://harakiimoveis.com.br/imovel/00000278/</t>
        </is>
      </c>
      <c r="N799" s="13" t="inlineStr">
        <is>
          <t>Novo</t>
        </is>
      </c>
      <c r="O799" s="13" t="inlineStr"/>
    </row>
    <row r="800">
      <c r="A800" s="13" t="inlineStr">
        <is>
          <t>2026-06-28</t>
        </is>
      </c>
      <c r="B800" s="13" t="inlineStr">
        <is>
          <t>harakiimoveis.com.br</t>
        </is>
      </c>
      <c r="C800" s="13" t="inlineStr">
        <is>
          <t>Haraki Imóveis</t>
        </is>
      </c>
      <c r="D800" s="13" t="inlineStr"/>
      <c r="E800" s="13" t="inlineStr">
        <is>
          <t>Imóvel</t>
        </is>
      </c>
      <c r="F800" s="13" t="inlineStr">
        <is>
          <t>Rua Pioneiro Jones Sales Pontes, 45, Jardim Muníque</t>
        </is>
      </c>
      <c r="G800" s="13" t="n">
        <v>204</v>
      </c>
      <c r="H800" s="13" t="n">
        <v>3</v>
      </c>
      <c r="I800" s="13" t="n">
        <v>5</v>
      </c>
      <c r="K800" s="13" t="n">
        <v>3</v>
      </c>
      <c r="L800" s="13" t="n">
        <v>1390000</v>
      </c>
      <c r="M800" s="13" t="inlineStr">
        <is>
          <t>Ref: 00000114 | https://harakiimoveis.com.br/imovel/00000114/</t>
        </is>
      </c>
      <c r="N800" s="13" t="inlineStr">
        <is>
          <t>Novo</t>
        </is>
      </c>
      <c r="O800" s="13" t="inlineStr"/>
    </row>
    <row r="801">
      <c r="A801" s="13" t="inlineStr">
        <is>
          <t>2026-06-28</t>
        </is>
      </c>
      <c r="B801" s="13" t="inlineStr">
        <is>
          <t>harakiimoveis.com.br</t>
        </is>
      </c>
      <c r="C801" s="13" t="inlineStr">
        <is>
          <t>Haraki Imóveis</t>
        </is>
      </c>
      <c r="D801" s="13" t="inlineStr"/>
      <c r="E801" s="13" t="inlineStr">
        <is>
          <t>Imóvel</t>
        </is>
      </c>
      <c r="F801" s="13" t="inlineStr">
        <is>
          <t>Rua Vicente Rodrigues da Silva, 175, Jardim Muníque</t>
        </is>
      </c>
      <c r="G801" s="13" t="n">
        <v>217</v>
      </c>
      <c r="H801" s="13" t="n">
        <v>1</v>
      </c>
      <c r="I801" s="13" t="n">
        <v>3</v>
      </c>
      <c r="K801" s="13" t="n">
        <v>4</v>
      </c>
      <c r="L801" s="13" t="n">
        <v>1450000</v>
      </c>
      <c r="M801" s="13" t="inlineStr">
        <is>
          <t>Ref: 00000200 | https://harakiimoveis.com.br/imovel/00000200/</t>
        </is>
      </c>
      <c r="N801" s="13" t="inlineStr">
        <is>
          <t>Novo</t>
        </is>
      </c>
      <c r="O801" s="13" t="inlineStr"/>
    </row>
    <row r="802">
      <c r="A802" s="13" t="inlineStr">
        <is>
          <t>2026-06-28</t>
        </is>
      </c>
      <c r="B802" s="13" t="inlineStr">
        <is>
          <t>harakiimoveis.com.br</t>
        </is>
      </c>
      <c r="C802" s="13" t="inlineStr">
        <is>
          <t>Haraki Imóveis</t>
        </is>
      </c>
      <c r="D802" s="13" t="inlineStr"/>
      <c r="E802" s="13" t="inlineStr">
        <is>
          <t>Imóvel</t>
        </is>
      </c>
      <c r="F802" s="13" t="inlineStr">
        <is>
          <t>Rua Pioneira Nair dos Santos Tavares, 17, Jardim Parque do Horto</t>
        </is>
      </c>
      <c r="G802" s="13" t="n">
        <v>215.19</v>
      </c>
      <c r="H802" s="13" t="n">
        <v>4</v>
      </c>
      <c r="I802" s="13" t="n">
        <v>5</v>
      </c>
      <c r="K802" s="13" t="n">
        <v>2</v>
      </c>
      <c r="L802" s="13" t="n">
        <v>1450000</v>
      </c>
      <c r="M802" s="13" t="inlineStr">
        <is>
          <t>Ref: 00000323 | https://harakiimoveis.com.br/imovel/00000323/</t>
        </is>
      </c>
      <c r="N802" s="13" t="inlineStr">
        <is>
          <t>Novo</t>
        </is>
      </c>
      <c r="O802" s="13" t="inlineStr"/>
    </row>
    <row r="803">
      <c r="A803" s="13" t="inlineStr">
        <is>
          <t>2026-06-28</t>
        </is>
      </c>
      <c r="B803" s="13" t="inlineStr">
        <is>
          <t>harakiimoveis.com.br</t>
        </is>
      </c>
      <c r="C803" s="13" t="inlineStr">
        <is>
          <t>Haraki Imóveis</t>
        </is>
      </c>
      <c r="D803" s="13" t="inlineStr"/>
      <c r="E803" s="13" t="inlineStr">
        <is>
          <t>Imóvel</t>
        </is>
      </c>
      <c r="F803" s="13" t="inlineStr">
        <is>
          <t>Rua Ã‚ngelo Pelissari, 207, Res Moreschi</t>
        </is>
      </c>
      <c r="G803" s="13" t="n">
        <v>270</v>
      </c>
      <c r="H803" s="13" t="n">
        <v>2</v>
      </c>
      <c r="I803" s="13" t="n">
        <v>4</v>
      </c>
      <c r="K803" s="13" t="n">
        <v>4</v>
      </c>
      <c r="L803" s="13" t="n">
        <v>1500000</v>
      </c>
      <c r="M803" s="13" t="inlineStr">
        <is>
          <t>Ref: 00000168 | https://harakiimoveis.com.br/imovel/00000168/</t>
        </is>
      </c>
      <c r="N803" s="13" t="inlineStr">
        <is>
          <t>Novo</t>
        </is>
      </c>
      <c r="O803" s="13" t="inlineStr"/>
    </row>
    <row r="804">
      <c r="A804" s="13" t="inlineStr">
        <is>
          <t>2026-06-28</t>
        </is>
      </c>
      <c r="B804" s="13" t="inlineStr">
        <is>
          <t>harakiimoveis.com.br</t>
        </is>
      </c>
      <c r="C804" s="13" t="inlineStr">
        <is>
          <t>Haraki Imóveis</t>
        </is>
      </c>
      <c r="D804" s="13" t="inlineStr"/>
      <c r="E804" s="13" t="inlineStr">
        <is>
          <t>Imóvel</t>
        </is>
      </c>
      <c r="F804" s="13" t="inlineStr">
        <is>
          <t>Rua Manoel Jorge Ferreira Filho, 414, Jardim Muníque</t>
        </is>
      </c>
      <c r="G804" s="13" t="n">
        <v>258</v>
      </c>
      <c r="H804" s="13" t="n">
        <v>1</v>
      </c>
      <c r="I804" s="13" t="n">
        <v>4</v>
      </c>
      <c r="K804" s="13" t="n">
        <v>2</v>
      </c>
      <c r="L804" s="13" t="n">
        <v>1580000</v>
      </c>
      <c r="M804" s="13" t="inlineStr">
        <is>
          <t>Ref: 00000468 | https://harakiimoveis.com.br/imovel/00000468/</t>
        </is>
      </c>
      <c r="N804" s="13" t="inlineStr">
        <is>
          <t>Novo</t>
        </is>
      </c>
      <c r="O804" s="13" t="inlineStr"/>
    </row>
    <row r="805">
      <c r="A805" s="13" t="inlineStr">
        <is>
          <t>2026-06-28</t>
        </is>
      </c>
      <c r="B805" s="13" t="inlineStr">
        <is>
          <t>harakiimoveis.com.br</t>
        </is>
      </c>
      <c r="C805" s="13" t="inlineStr">
        <is>
          <t>Haraki Imóveis</t>
        </is>
      </c>
      <c r="D805" s="13" t="inlineStr"/>
      <c r="E805" s="13" t="inlineStr">
        <is>
          <t>Imóvel</t>
        </is>
      </c>
      <c r="F805" s="13" t="inlineStr">
        <is>
          <t>Avenida Guedner, 521, Zona 08</t>
        </is>
      </c>
      <c r="G805" s="13" t="n">
        <v>112</v>
      </c>
      <c r="H805" s="13" t="n">
        <v>1</v>
      </c>
      <c r="I805" s="13" t="n">
        <v>3</v>
      </c>
      <c r="K805" s="13" t="n">
        <v>2</v>
      </c>
      <c r="L805" s="13" t="n">
        <v>1590000</v>
      </c>
      <c r="M805" s="13" t="inlineStr">
        <is>
          <t>Ref: 00000320 | Positano Residenza | https://harakiimoveis.com.br/imovel/00000320/</t>
        </is>
      </c>
      <c r="N805" s="13" t="inlineStr">
        <is>
          <t>Novo</t>
        </is>
      </c>
      <c r="O805" s="13" t="inlineStr"/>
    </row>
    <row r="806">
      <c r="A806" s="13" t="inlineStr">
        <is>
          <t>2026-06-28</t>
        </is>
      </c>
      <c r="B806" s="13" t="inlineStr">
        <is>
          <t>harakiimoveis.com.br</t>
        </is>
      </c>
      <c r="C806" s="13" t="inlineStr">
        <is>
          <t>Haraki Imóveis</t>
        </is>
      </c>
      <c r="D806" s="13" t="inlineStr"/>
      <c r="E806" s="13" t="inlineStr">
        <is>
          <t>Imóvel</t>
        </is>
      </c>
      <c r="F806" s="13" t="inlineStr">
        <is>
          <t>Avenida Alziro Zarur, 650, Vila Vardelina</t>
        </is>
      </c>
      <c r="G806" s="13" t="n">
        <v>301</v>
      </c>
      <c r="H806" s="13" t="n">
        <v>4</v>
      </c>
      <c r="I806" s="13" t="n">
        <v>2</v>
      </c>
      <c r="K806" s="13" t="n">
        <v>2</v>
      </c>
      <c r="L806" s="13" t="n">
        <v>1600000</v>
      </c>
      <c r="M806" s="13" t="inlineStr">
        <is>
          <t>Ref: 00000137 | https://harakiimoveis.com.br/imovel/00000137/</t>
        </is>
      </c>
      <c r="N806" s="13" t="inlineStr">
        <is>
          <t>Novo</t>
        </is>
      </c>
      <c r="O806" s="13" t="inlineStr"/>
    </row>
    <row r="807">
      <c r="A807" s="13" t="inlineStr">
        <is>
          <t>2026-06-28</t>
        </is>
      </c>
      <c r="B807" s="13" t="inlineStr">
        <is>
          <t>harakiimoveis.com.br</t>
        </is>
      </c>
      <c r="C807" s="13" t="inlineStr">
        <is>
          <t>Haraki Imóveis</t>
        </is>
      </c>
      <c r="D807" s="13" t="inlineStr"/>
      <c r="E807" s="13" t="inlineStr">
        <is>
          <t>Imóvel</t>
        </is>
      </c>
      <c r="F807" s="13" t="inlineStr">
        <is>
          <t>Rua Marcassita, 59, Jardim Real</t>
        </is>
      </c>
      <c r="G807" s="13" t="n">
        <v>200</v>
      </c>
      <c r="H807" s="13" t="n">
        <v>3</v>
      </c>
      <c r="I807" s="13" t="n">
        <v>4</v>
      </c>
      <c r="K807" s="13" t="n">
        <v>3</v>
      </c>
      <c r="L807" s="13" t="n">
        <v>1600000</v>
      </c>
      <c r="M807" s="13" t="inlineStr">
        <is>
          <t>Ref: 00000286 | https://harakiimoveis.com.br/imovel/00000286/</t>
        </is>
      </c>
      <c r="N807" s="13" t="inlineStr">
        <is>
          <t>Novo</t>
        </is>
      </c>
      <c r="O807" s="13" t="inlineStr"/>
    </row>
    <row r="808">
      <c r="A808" s="13" t="inlineStr">
        <is>
          <t>2026-06-28</t>
        </is>
      </c>
      <c r="B808" s="13" t="inlineStr">
        <is>
          <t>harakiimoveis.com.br</t>
        </is>
      </c>
      <c r="C808" s="13" t="inlineStr">
        <is>
          <t>Haraki Imóveis</t>
        </is>
      </c>
      <c r="D808" s="13" t="inlineStr"/>
      <c r="E808" s="13" t="inlineStr">
        <is>
          <t>Imóvel</t>
        </is>
      </c>
      <c r="F808" s="13" t="inlineStr">
        <is>
          <t>Rua Alfredo Andersen, 330, Zona 05</t>
        </is>
      </c>
      <c r="G808" s="13" t="n">
        <v>140</v>
      </c>
      <c r="H808" s="13" t="inlineStr"/>
      <c r="I808" s="13" t="inlineStr"/>
      <c r="K808" s="13" t="inlineStr"/>
      <c r="L808" s="13" t="n">
        <v>1600000</v>
      </c>
      <c r="M808" s="13" t="inlineStr">
        <is>
          <t>Ref: 00000527 | https://harakiimoveis.com.br/imovel/00000527/</t>
        </is>
      </c>
      <c r="N808" s="13" t="inlineStr">
        <is>
          <t>Novo</t>
        </is>
      </c>
      <c r="O808" s="13" t="inlineStr"/>
    </row>
    <row r="809">
      <c r="A809" s="13" t="inlineStr">
        <is>
          <t>2026-06-28</t>
        </is>
      </c>
      <c r="B809" s="13" t="inlineStr">
        <is>
          <t>harakiimoveis.com.br</t>
        </is>
      </c>
      <c r="C809" s="13" t="inlineStr">
        <is>
          <t>Haraki Imóveis</t>
        </is>
      </c>
      <c r="D809" s="13" t="inlineStr"/>
      <c r="E809" s="13" t="inlineStr">
        <is>
          <t>Imóvel</t>
        </is>
      </c>
      <c r="F809" s="13" t="inlineStr">
        <is>
          <t>Avenida Londrina, 1640, Zona 08</t>
        </is>
      </c>
      <c r="G809" s="13" t="n">
        <v>169.89</v>
      </c>
      <c r="H809" s="13" t="n">
        <v>1</v>
      </c>
      <c r="I809" s="13" t="n">
        <v>4</v>
      </c>
      <c r="K809" s="13" t="n">
        <v>2</v>
      </c>
      <c r="L809" s="13" t="n">
        <v>1600000</v>
      </c>
      <c r="M809" s="13" t="inlineStr">
        <is>
          <t>Ref: 00000530 | Petit Village | https://harakiimoveis.com.br/imovel/00000530/</t>
        </is>
      </c>
      <c r="N809" s="13" t="inlineStr">
        <is>
          <t>Novo</t>
        </is>
      </c>
      <c r="O809" s="13" t="inlineStr"/>
    </row>
    <row r="810">
      <c r="A810" s="13" t="inlineStr">
        <is>
          <t>2026-06-28</t>
        </is>
      </c>
      <c r="B810" s="13" t="inlineStr">
        <is>
          <t>harakiimoveis.com.br</t>
        </is>
      </c>
      <c r="C810" s="13" t="inlineStr">
        <is>
          <t>Haraki Imóveis</t>
        </is>
      </c>
      <c r="D810" s="13" t="inlineStr"/>
      <c r="E810" s="13" t="inlineStr">
        <is>
          <t>Imóvel</t>
        </is>
      </c>
      <c r="F810" s="13" t="inlineStr">
        <is>
          <t>Rua Espinela, 339, Jardim Paraizo</t>
        </is>
      </c>
      <c r="G810" s="13" t="n">
        <v>211</v>
      </c>
      <c r="H810" s="13" t="n">
        <v>1</v>
      </c>
      <c r="I810" s="13" t="n">
        <v>3</v>
      </c>
      <c r="K810" s="13" t="n">
        <v>4</v>
      </c>
      <c r="L810" s="13" t="n">
        <v>1650000</v>
      </c>
      <c r="M810" s="13" t="inlineStr">
        <is>
          <t>Ref: 00000093 | https://harakiimoveis.com.br/imovel/00000093/</t>
        </is>
      </c>
      <c r="N810" s="13" t="inlineStr">
        <is>
          <t>Novo</t>
        </is>
      </c>
      <c r="O810" s="13" t="inlineStr"/>
    </row>
    <row r="811">
      <c r="A811" s="13" t="inlineStr">
        <is>
          <t>2026-06-28</t>
        </is>
      </c>
      <c r="B811" s="13" t="inlineStr">
        <is>
          <t>harakiimoveis.com.br</t>
        </is>
      </c>
      <c r="C811" s="13" t="inlineStr">
        <is>
          <t>Haraki Imóveis</t>
        </is>
      </c>
      <c r="D811" s="13" t="inlineStr"/>
      <c r="E811" s="13" t="inlineStr">
        <is>
          <t>Imóvel</t>
        </is>
      </c>
      <c r="F811" s="13" t="inlineStr">
        <is>
          <t>Rua Pioneiro Carlos Bulla, 210, Jardim Paraíso</t>
        </is>
      </c>
      <c r="G811" s="13" t="n">
        <v>238</v>
      </c>
      <c r="H811" s="13" t="n">
        <v>1</v>
      </c>
      <c r="I811" s="13" t="n">
        <v>3</v>
      </c>
      <c r="K811" s="13" t="n">
        <v>2</v>
      </c>
      <c r="L811" s="13" t="n">
        <v>1690000</v>
      </c>
      <c r="M811" s="13" t="inlineStr">
        <is>
          <t>Ref: 00000074 | Residencial Green Park | https://harakiimoveis.com.br/imovel/00000074/</t>
        </is>
      </c>
      <c r="N811" s="13" t="inlineStr">
        <is>
          <t>Novo</t>
        </is>
      </c>
      <c r="O811" s="13" t="inlineStr"/>
    </row>
    <row r="812">
      <c r="A812" s="13" t="inlineStr">
        <is>
          <t>2026-06-28</t>
        </is>
      </c>
      <c r="B812" s="13" t="inlineStr">
        <is>
          <t>harakiimoveis.com.br</t>
        </is>
      </c>
      <c r="C812" s="13" t="inlineStr">
        <is>
          <t>Haraki Imóveis</t>
        </is>
      </c>
      <c r="D812" s="13" t="inlineStr"/>
      <c r="E812" s="13" t="inlineStr">
        <is>
          <t>Imóvel</t>
        </is>
      </c>
      <c r="F812" s="13" t="inlineStr">
        <is>
          <t>Rua Pioneiro Carlos Bulla, 210, Jardim Paraíso</t>
        </is>
      </c>
      <c r="G812" s="13" t="n">
        <v>327</v>
      </c>
      <c r="H812" s="13" t="n">
        <v>3</v>
      </c>
      <c r="I812" s="13" t="n">
        <v>4</v>
      </c>
      <c r="K812" s="13" t="n">
        <v>4</v>
      </c>
      <c r="L812" s="13" t="n">
        <v>1750000</v>
      </c>
      <c r="M812" s="13" t="inlineStr">
        <is>
          <t>Ref: 00000055 | Green Park | https://harakiimoveis.com.br/imovel/00000055/</t>
        </is>
      </c>
      <c r="N812" s="13" t="inlineStr">
        <is>
          <t>Novo</t>
        </is>
      </c>
      <c r="O812" s="13" t="inlineStr"/>
    </row>
    <row r="813">
      <c r="A813" s="13" t="inlineStr">
        <is>
          <t>2026-06-28</t>
        </is>
      </c>
      <c r="B813" s="13" t="inlineStr">
        <is>
          <t>harakiimoveis.com.br</t>
        </is>
      </c>
      <c r="C813" s="13" t="inlineStr">
        <is>
          <t>Haraki Imóveis</t>
        </is>
      </c>
      <c r="D813" s="13" t="inlineStr"/>
      <c r="E813" s="13" t="inlineStr">
        <is>
          <t>Imóvel</t>
        </is>
      </c>
      <c r="F813" s="13" t="inlineStr">
        <is>
          <t>Avenida Centenário, 631, Zona 08</t>
        </is>
      </c>
      <c r="G813" s="13" t="n">
        <v>252</v>
      </c>
      <c r="H813" s="13" t="inlineStr"/>
      <c r="I813" s="13" t="inlineStr"/>
      <c r="K813" s="13" t="inlineStr"/>
      <c r="L813" s="13" t="n">
        <v>1790000</v>
      </c>
      <c r="M813" s="13" t="inlineStr">
        <is>
          <t>Ref: 00000428 | https://harakiimoveis.com.br/imovel/00000428/</t>
        </is>
      </c>
      <c r="N813" s="13" t="inlineStr">
        <is>
          <t>Novo</t>
        </is>
      </c>
      <c r="O813" s="13" t="inlineStr"/>
    </row>
    <row r="814">
      <c r="A814" s="13" t="inlineStr">
        <is>
          <t>2026-06-28</t>
        </is>
      </c>
      <c r="B814" s="13" t="inlineStr">
        <is>
          <t>harakiimoveis.com.br</t>
        </is>
      </c>
      <c r="C814" s="13" t="inlineStr">
        <is>
          <t>Haraki Imóveis</t>
        </is>
      </c>
      <c r="D814" s="13" t="inlineStr"/>
      <c r="E814" s="13" t="inlineStr">
        <is>
          <t>Imóvel</t>
        </is>
      </c>
      <c r="F814" s="13" t="inlineStr">
        <is>
          <t>Rua 8 de Setembro, 100, Jardim Alamar</t>
        </is>
      </c>
      <c r="G814" s="13" t="n">
        <v>298.83</v>
      </c>
      <c r="H814" s="13" t="n">
        <v>3</v>
      </c>
      <c r="I814" s="13" t="n">
        <v>5</v>
      </c>
      <c r="K814" s="13" t="n">
        <v>3</v>
      </c>
      <c r="L814" s="13" t="n">
        <v>1790000</v>
      </c>
      <c r="M814" s="13" t="inlineStr">
        <is>
          <t>Ref: 00000459 | https://harakiimoveis.com.br/imovel/00000459/</t>
        </is>
      </c>
      <c r="N814" s="13" t="inlineStr">
        <is>
          <t>Novo</t>
        </is>
      </c>
      <c r="O814" s="13" t="inlineStr"/>
    </row>
    <row r="815">
      <c r="A815" s="13" t="inlineStr">
        <is>
          <t>2026-06-28</t>
        </is>
      </c>
      <c r="B815" s="13" t="inlineStr">
        <is>
          <t>harakiimoveis.com.br</t>
        </is>
      </c>
      <c r="C815" s="13" t="inlineStr">
        <is>
          <t>Haraki Imóveis</t>
        </is>
      </c>
      <c r="D815" s="13" t="inlineStr"/>
      <c r="E815" s="13" t="inlineStr">
        <is>
          <t>Imóvel</t>
        </is>
      </c>
      <c r="F815" s="13" t="inlineStr">
        <is>
          <t>Rua Felipe Camarão, 164, Zona 02</t>
        </is>
      </c>
      <c r="G815" s="13" t="n">
        <v>423</v>
      </c>
      <c r="H815" s="13" t="n">
        <v>2</v>
      </c>
      <c r="I815" s="13" t="n">
        <v>6</v>
      </c>
      <c r="K815" s="13" t="inlineStr"/>
      <c r="L815" s="13" t="n">
        <v>1800000</v>
      </c>
      <c r="M815" s="13" t="inlineStr">
        <is>
          <t>Ref: 00000046 | https://harakiimoveis.com.br/imovel/00000046/</t>
        </is>
      </c>
      <c r="N815" s="13" t="inlineStr">
        <is>
          <t>Novo</t>
        </is>
      </c>
      <c r="O815" s="13" t="inlineStr"/>
    </row>
    <row r="816">
      <c r="A816" s="13" t="inlineStr">
        <is>
          <t>2026-06-28</t>
        </is>
      </c>
      <c r="B816" s="13" t="inlineStr">
        <is>
          <t>harakiimoveis.com.br</t>
        </is>
      </c>
      <c r="C816" s="13" t="inlineStr">
        <is>
          <t>Haraki Imóveis</t>
        </is>
      </c>
      <c r="D816" s="13" t="inlineStr"/>
      <c r="E816" s="13" t="inlineStr">
        <is>
          <t>Imóvel</t>
        </is>
      </c>
      <c r="F816" s="13" t="inlineStr">
        <is>
          <t>Avenida Kakogawa, Condomínio Santa Marina</t>
        </is>
      </c>
      <c r="G816" s="13" t="n">
        <v>2670</v>
      </c>
      <c r="H816" s="13" t="inlineStr"/>
      <c r="I816" s="13" t="inlineStr"/>
      <c r="K816" s="13" t="inlineStr"/>
      <c r="L816" s="13" t="n">
        <v>1800000</v>
      </c>
      <c r="M816" s="13" t="inlineStr">
        <is>
          <t>Ref: 00000510 | https://harakiimoveis.com.br/imovel/00000510/</t>
        </is>
      </c>
      <c r="N816" s="13" t="inlineStr">
        <is>
          <t>Novo</t>
        </is>
      </c>
      <c r="O816" s="13" t="inlineStr"/>
    </row>
    <row r="817">
      <c r="A817" s="13" t="inlineStr">
        <is>
          <t>2026-06-28</t>
        </is>
      </c>
      <c r="B817" s="13" t="inlineStr">
        <is>
          <t>harakiimoveis.com.br</t>
        </is>
      </c>
      <c r="C817" s="13" t="inlineStr">
        <is>
          <t>Haraki Imóveis</t>
        </is>
      </c>
      <c r="D817" s="13" t="inlineStr"/>
      <c r="E817" s="13" t="inlineStr">
        <is>
          <t>Imóvel</t>
        </is>
      </c>
      <c r="F817" s="13" t="inlineStr">
        <is>
          <t>Rua Affonso Hernandes Bittencourt, 674, Jardim Cidade Monções</t>
        </is>
      </c>
      <c r="G817" s="13" t="n">
        <v>353.11</v>
      </c>
      <c r="H817" s="13" t="n">
        <v>1</v>
      </c>
      <c r="I817" s="13" t="n">
        <v>3</v>
      </c>
      <c r="K817" s="13" t="n">
        <v>4</v>
      </c>
      <c r="L817" s="13" t="n">
        <v>1880000</v>
      </c>
      <c r="M817" s="13" t="inlineStr">
        <is>
          <t>Ref: 00000533 | https://harakiimoveis.com.br/imovel/00000533/</t>
        </is>
      </c>
      <c r="N817" s="13" t="inlineStr">
        <is>
          <t>Novo</t>
        </is>
      </c>
      <c r="O817" s="13" t="inlineStr"/>
    </row>
    <row r="818">
      <c r="A818" s="13" t="inlineStr">
        <is>
          <t>2026-06-28</t>
        </is>
      </c>
      <c r="B818" s="13" t="inlineStr">
        <is>
          <t>harakiimoveis.com.br</t>
        </is>
      </c>
      <c r="C818" s="13" t="inlineStr">
        <is>
          <t>Haraki Imóveis</t>
        </is>
      </c>
      <c r="D818" s="13" t="inlineStr"/>
      <c r="E818" s="13" t="inlineStr">
        <is>
          <t>Imóvel</t>
        </is>
      </c>
      <c r="F818" s="13" t="inlineStr">
        <is>
          <t>Rua Santa Joaquina de Vedruna, 1105, Zona 05</t>
        </is>
      </c>
      <c r="G818" s="13" t="n">
        <v>394.94</v>
      </c>
      <c r="H818" s="13" t="n">
        <v>1</v>
      </c>
      <c r="I818" s="13" t="n">
        <v>4</v>
      </c>
      <c r="K818" s="13" t="n">
        <v>4</v>
      </c>
      <c r="L818" s="13" t="n">
        <v>2000000</v>
      </c>
      <c r="M818" s="13" t="inlineStr">
        <is>
          <t>Ref: 00000347 | https://harakiimoveis.com.br/imovel/00000347/</t>
        </is>
      </c>
      <c r="N818" s="13" t="inlineStr">
        <is>
          <t>Novo</t>
        </is>
      </c>
      <c r="O818" s="13" t="inlineStr"/>
    </row>
    <row r="819">
      <c r="A819" s="13" t="inlineStr">
        <is>
          <t>2026-06-28</t>
        </is>
      </c>
      <c r="B819" s="13" t="inlineStr">
        <is>
          <t>harakiimoveis.com.br</t>
        </is>
      </c>
      <c r="C819" s="13" t="inlineStr">
        <is>
          <t>Haraki Imóveis</t>
        </is>
      </c>
      <c r="D819" s="13" t="inlineStr"/>
      <c r="E819" s="13" t="inlineStr">
        <is>
          <t>Imóvel</t>
        </is>
      </c>
      <c r="F819" s="13" t="inlineStr">
        <is>
          <t>Avenida João Paulino Vieira Filho, 1009, Zona 01 - Centro</t>
        </is>
      </c>
      <c r="G819" s="13" t="n">
        <v>166</v>
      </c>
      <c r="H819" s="13" t="n">
        <v>3</v>
      </c>
      <c r="I819" s="13" t="n">
        <v>4</v>
      </c>
      <c r="K819" s="13" t="n">
        <v>2</v>
      </c>
      <c r="L819" s="13" t="n">
        <v>2050000</v>
      </c>
      <c r="M819" s="13" t="inlineStr">
        <is>
          <t>Ref: 00000292 | Novo Centro | https://harakiimoveis.com.br/imovel/00000292/</t>
        </is>
      </c>
      <c r="N819" s="13" t="inlineStr">
        <is>
          <t>Novo</t>
        </is>
      </c>
      <c r="O819" s="13" t="inlineStr"/>
    </row>
    <row r="820">
      <c r="A820" s="13" t="inlineStr">
        <is>
          <t>2026-06-28</t>
        </is>
      </c>
      <c r="B820" s="13" t="inlineStr">
        <is>
          <t>harakiimoveis.com.br</t>
        </is>
      </c>
      <c r="C820" s="13" t="inlineStr">
        <is>
          <t>Haraki Imóveis</t>
        </is>
      </c>
      <c r="D820" s="13" t="inlineStr"/>
      <c r="E820" s="13" t="inlineStr">
        <is>
          <t>Imóvel</t>
        </is>
      </c>
      <c r="F820" s="13" t="inlineStr">
        <is>
          <t>Rua Pioneiro Lázaro Claro da Silva, 436, Jardim Cidade Monções</t>
        </is>
      </c>
      <c r="G820" s="13" t="n">
        <v>291.38</v>
      </c>
      <c r="H820" s="13" t="n">
        <v>3</v>
      </c>
      <c r="I820" s="13" t="n">
        <v>5</v>
      </c>
      <c r="K820" s="13" t="n">
        <v>2</v>
      </c>
      <c r="L820" s="13" t="n">
        <v>2100000</v>
      </c>
      <c r="M820" s="13" t="inlineStr">
        <is>
          <t>Ref: 00000409 | https://harakiimoveis.com.br/imovel/00000409/</t>
        </is>
      </c>
      <c r="N820" s="13" t="inlineStr">
        <is>
          <t>Novo</t>
        </is>
      </c>
      <c r="O820" s="13" t="inlineStr"/>
    </row>
    <row r="821">
      <c r="A821" s="13" t="inlineStr">
        <is>
          <t>2026-06-28</t>
        </is>
      </c>
      <c r="B821" s="13" t="inlineStr">
        <is>
          <t>harakiimoveis.com.br</t>
        </is>
      </c>
      <c r="C821" s="13" t="inlineStr">
        <is>
          <t>Haraki Imóveis</t>
        </is>
      </c>
      <c r="D821" s="13" t="inlineStr"/>
      <c r="E821" s="13" t="inlineStr">
        <is>
          <t>Imóvel</t>
        </is>
      </c>
      <c r="F821" s="13" t="inlineStr">
        <is>
          <t>Rua Vereador Nelson Abrão, 2108, Zona 05</t>
        </is>
      </c>
      <c r="G821" s="13" t="n">
        <v>469.28</v>
      </c>
      <c r="H821" s="13" t="n">
        <v>3</v>
      </c>
      <c r="I821" s="13" t="n">
        <v>6</v>
      </c>
      <c r="K821" s="13" t="n">
        <v>7</v>
      </c>
      <c r="L821" s="13" t="n">
        <v>2200000</v>
      </c>
      <c r="M821" s="13" t="inlineStr">
        <is>
          <t>Ref: 00000075 | https://harakiimoveis.com.br/imovel/00000075/</t>
        </is>
      </c>
      <c r="N821" s="13" t="inlineStr">
        <is>
          <t>Novo</t>
        </is>
      </c>
      <c r="O821" s="13" t="inlineStr"/>
    </row>
    <row r="822">
      <c r="A822" s="13" t="inlineStr">
        <is>
          <t>2026-06-28</t>
        </is>
      </c>
      <c r="B822" s="13" t="inlineStr">
        <is>
          <t>harakiimoveis.com.br</t>
        </is>
      </c>
      <c r="C822" s="13" t="inlineStr">
        <is>
          <t>Haraki Imóveis</t>
        </is>
      </c>
      <c r="D822" s="13" t="inlineStr"/>
      <c r="E822" s="13" t="inlineStr">
        <is>
          <t>Imóvel</t>
        </is>
      </c>
      <c r="F822" s="13" t="inlineStr">
        <is>
          <t>Rua Rodolfo Cremm, 4028, Jardim Colina Verde</t>
        </is>
      </c>
      <c r="G822" s="13" t="n">
        <v>3000</v>
      </c>
      <c r="H822" s="13" t="inlineStr"/>
      <c r="I822" s="13" t="inlineStr"/>
      <c r="K822" s="13" t="inlineStr"/>
      <c r="L822" s="13" t="n">
        <v>2400000</v>
      </c>
      <c r="M822" s="13" t="inlineStr">
        <is>
          <t>Ref: 00000427 | https://harakiimoveis.com.br/imovel/00000427/</t>
        </is>
      </c>
      <c r="N822" s="13" t="inlineStr">
        <is>
          <t>Novo</t>
        </is>
      </c>
      <c r="O822" s="13" t="inlineStr"/>
    </row>
    <row r="823">
      <c r="A823" s="13" t="inlineStr">
        <is>
          <t>2026-06-28</t>
        </is>
      </c>
      <c r="B823" s="13" t="inlineStr">
        <is>
          <t>harakiimoveis.com.br</t>
        </is>
      </c>
      <c r="C823" s="13" t="inlineStr">
        <is>
          <t>Haraki Imóveis</t>
        </is>
      </c>
      <c r="D823" s="13" t="inlineStr"/>
      <c r="E823" s="13" t="inlineStr">
        <is>
          <t>Imóvel</t>
        </is>
      </c>
      <c r="F823" s="13" t="inlineStr">
        <is>
          <t>Rua Pablo Neruda, 102, Jardim Cidade Monções</t>
        </is>
      </c>
      <c r="G823" s="13" t="n">
        <v>240.93</v>
      </c>
      <c r="H823" s="13" t="n">
        <v>3</v>
      </c>
      <c r="I823" s="13" t="n">
        <v>5</v>
      </c>
      <c r="K823" s="13" t="n">
        <v>3</v>
      </c>
      <c r="L823" s="13" t="n">
        <v>2450000</v>
      </c>
      <c r="M823" s="13" t="inlineStr">
        <is>
          <t>Ref: 00000424 | https://harakiimoveis.com.br/imovel/00000424/</t>
        </is>
      </c>
      <c r="N823" s="13" t="inlineStr">
        <is>
          <t>Novo</t>
        </is>
      </c>
      <c r="O823" s="13" t="inlineStr"/>
    </row>
    <row r="824">
      <c r="A824" s="13" t="inlineStr">
        <is>
          <t>2026-06-28</t>
        </is>
      </c>
      <c r="B824" s="13" t="inlineStr">
        <is>
          <t>harakiimoveis.com.br</t>
        </is>
      </c>
      <c r="C824" s="13" t="inlineStr">
        <is>
          <t>Haraki Imóveis</t>
        </is>
      </c>
      <c r="D824" s="13" t="inlineStr"/>
      <c r="E824" s="13" t="inlineStr">
        <is>
          <t>Imóvel</t>
        </is>
      </c>
      <c r="F824" s="13" t="inlineStr">
        <is>
          <t>Rua Marciano Halchuk, 76, Vila Bosque</t>
        </is>
      </c>
      <c r="G824" s="13" t="n">
        <v>230</v>
      </c>
      <c r="H824" s="13" t="n">
        <v>3</v>
      </c>
      <c r="I824" s="13" t="n">
        <v>5</v>
      </c>
      <c r="K824" s="13" t="n">
        <v>5</v>
      </c>
      <c r="L824" s="13" t="n">
        <v>2490000</v>
      </c>
      <c r="M824" s="13" t="inlineStr">
        <is>
          <t>Ref: 00000462 | https://harakiimoveis.com.br/imovel/00000462/</t>
        </is>
      </c>
      <c r="N824" s="13" t="inlineStr">
        <is>
          <t>Novo</t>
        </is>
      </c>
      <c r="O824" s="13" t="inlineStr"/>
    </row>
    <row r="825">
      <c r="A825" s="13" t="inlineStr">
        <is>
          <t>2026-06-28</t>
        </is>
      </c>
      <c r="B825" s="13" t="inlineStr">
        <is>
          <t>harakiimoveis.com.br</t>
        </is>
      </c>
      <c r="C825" s="13" t="inlineStr">
        <is>
          <t>Haraki Imóveis</t>
        </is>
      </c>
      <c r="D825" s="13" t="inlineStr"/>
      <c r="E825" s="13" t="inlineStr">
        <is>
          <t>Imóvel</t>
        </is>
      </c>
      <c r="F825" s="13" t="inlineStr">
        <is>
          <t>Avenida Advogado Horácio Raccanello Filho, Zona 07</t>
        </is>
      </c>
      <c r="G825" s="13" t="n">
        <v>228</v>
      </c>
      <c r="H825" s="13" t="n">
        <v>4</v>
      </c>
      <c r="I825" s="13" t="n">
        <v>6</v>
      </c>
      <c r="K825" s="13" t="n">
        <v>2</v>
      </c>
      <c r="L825" s="13" t="n">
        <v>2500000</v>
      </c>
      <c r="M825" s="13" t="inlineStr">
        <is>
          <t>Ref: 00000059 | Terra Brasilis | https://harakiimoveis.com.br/imovel/00000059/</t>
        </is>
      </c>
      <c r="N825" s="13" t="inlineStr">
        <is>
          <t>Novo</t>
        </is>
      </c>
      <c r="O825" s="13" t="inlineStr"/>
    </row>
    <row r="826">
      <c r="A826" s="13" t="inlineStr">
        <is>
          <t>2026-06-28</t>
        </is>
      </c>
      <c r="B826" s="13" t="inlineStr">
        <is>
          <t>harakiimoveis.com.br</t>
        </is>
      </c>
      <c r="C826" s="13" t="inlineStr">
        <is>
          <t>Haraki Imóveis</t>
        </is>
      </c>
      <c r="D826" s="13" t="inlineStr"/>
      <c r="E826" s="13" t="inlineStr">
        <is>
          <t>Imóvel</t>
        </is>
      </c>
      <c r="F826" s="13" t="inlineStr">
        <is>
          <t>Rua Ãris, 1610, Parque Industrial</t>
        </is>
      </c>
      <c r="G826" s="13" t="n">
        <v>2612</v>
      </c>
      <c r="H826" s="13" t="inlineStr"/>
      <c r="I826" s="13" t="inlineStr"/>
      <c r="K826" s="13" t="inlineStr"/>
      <c r="L826" s="13" t="n">
        <v>2500000</v>
      </c>
      <c r="M826" s="13" t="inlineStr">
        <is>
          <t>Ref: 00000233 | https://harakiimoveis.com.br/imovel/00000233/</t>
        </is>
      </c>
      <c r="N826" s="13" t="inlineStr">
        <is>
          <t>Novo</t>
        </is>
      </c>
      <c r="O826" s="13" t="inlineStr"/>
    </row>
    <row r="827">
      <c r="A827" s="13" t="inlineStr">
        <is>
          <t>2026-06-28</t>
        </is>
      </c>
      <c r="B827" s="13" t="inlineStr">
        <is>
          <t>harakiimoveis.com.br</t>
        </is>
      </c>
      <c r="C827" s="13" t="inlineStr">
        <is>
          <t>Haraki Imóveis</t>
        </is>
      </c>
      <c r="D827" s="13" t="inlineStr"/>
      <c r="E827" s="13" t="inlineStr">
        <is>
          <t>Imóvel</t>
        </is>
      </c>
      <c r="F827" s="13" t="inlineStr">
        <is>
          <t>Estrada Zaúna, Gleba Ribeirão Sarandi</t>
        </is>
      </c>
      <c r="G827" s="13" t="n">
        <v>9900</v>
      </c>
      <c r="H827" s="13" t="inlineStr"/>
      <c r="I827" s="13" t="inlineStr"/>
      <c r="K827" s="13" t="inlineStr"/>
      <c r="L827" s="13" t="n">
        <v>2500000</v>
      </c>
      <c r="M827" s="13" t="inlineStr">
        <is>
          <t>Ref: 00000441 | Estancia Zauna | https://harakiimoveis.com.br/imovel/00000441/</t>
        </is>
      </c>
      <c r="N827" s="13" t="inlineStr">
        <is>
          <t>Novo</t>
        </is>
      </c>
      <c r="O827" s="13" t="inlineStr"/>
    </row>
    <row r="828">
      <c r="A828" s="13" t="inlineStr">
        <is>
          <t>2026-06-28</t>
        </is>
      </c>
      <c r="B828" s="13" t="inlineStr">
        <is>
          <t>harakiimoveis.com.br</t>
        </is>
      </c>
      <c r="C828" s="13" t="inlineStr">
        <is>
          <t>Haraki Imóveis</t>
        </is>
      </c>
      <c r="D828" s="13" t="inlineStr"/>
      <c r="E828" s="13" t="inlineStr">
        <is>
          <t>Imóvel</t>
        </is>
      </c>
      <c r="F828" s="13" t="inlineStr">
        <is>
          <t>Rua Prefeito Sadao Inaoka, 351, Parque Industrial</t>
        </is>
      </c>
      <c r="G828" s="13" t="n">
        <v>290</v>
      </c>
      <c r="H828" s="13" t="n">
        <v>3</v>
      </c>
      <c r="I828" s="13" t="n">
        <v>4</v>
      </c>
      <c r="K828" s="13" t="n">
        <v>2</v>
      </c>
      <c r="L828" s="13" t="n">
        <v>2500000</v>
      </c>
      <c r="M828" s="13" t="inlineStr">
        <is>
          <t>Ref: 00000504 | Hayashi | https://harakiimoveis.com.br/imovel/00000504/</t>
        </is>
      </c>
      <c r="N828" s="13" t="inlineStr">
        <is>
          <t>Novo</t>
        </is>
      </c>
      <c r="O828" s="13" t="inlineStr"/>
    </row>
    <row r="829">
      <c r="A829" s="13" t="inlineStr">
        <is>
          <t>2026-06-28</t>
        </is>
      </c>
      <c r="B829" s="13" t="inlineStr">
        <is>
          <t>harakiimoveis.com.br</t>
        </is>
      </c>
      <c r="C829" s="13" t="inlineStr">
        <is>
          <t>Haraki Imóveis</t>
        </is>
      </c>
      <c r="D829" s="13" t="inlineStr"/>
      <c r="E829" s="13" t="inlineStr">
        <is>
          <t>Imóvel</t>
        </is>
      </c>
      <c r="F829" s="13" t="inlineStr">
        <is>
          <t>Rua Cerqueira Cézar, 581, Zona 04</t>
        </is>
      </c>
      <c r="G829" s="13" t="n">
        <v>312</v>
      </c>
      <c r="H829" s="13" t="n">
        <v>2</v>
      </c>
      <c r="I829" s="13" t="n">
        <v>4</v>
      </c>
      <c r="K829" s="13" t="n">
        <v>4</v>
      </c>
      <c r="L829" s="13" t="n">
        <v>2600000</v>
      </c>
      <c r="M829" s="13" t="inlineStr">
        <is>
          <t>Ref: 00000415 | https://harakiimoveis.com.br/imovel/00000415/</t>
        </is>
      </c>
      <c r="N829" s="13" t="inlineStr">
        <is>
          <t>Novo</t>
        </is>
      </c>
      <c r="O829" s="13" t="inlineStr"/>
    </row>
    <row r="830">
      <c r="A830" s="13" t="inlineStr">
        <is>
          <t>2026-06-28</t>
        </is>
      </c>
      <c r="B830" s="13" t="inlineStr">
        <is>
          <t>harakiimoveis.com.br</t>
        </is>
      </c>
      <c r="C830" s="13" t="inlineStr">
        <is>
          <t>Haraki Imóveis</t>
        </is>
      </c>
      <c r="D830" s="13" t="inlineStr"/>
      <c r="E830" s="13" t="inlineStr">
        <is>
          <t>Imóvel</t>
        </is>
      </c>
      <c r="F830" s="13" t="inlineStr">
        <is>
          <t>Rua Prefeito Sadao Inaoka, 351, Parque Industrial</t>
        </is>
      </c>
      <c r="G830" s="13" t="n">
        <v>260</v>
      </c>
      <c r="H830" s="13" t="n">
        <v>4</v>
      </c>
      <c r="I830" s="13" t="n">
        <v>5</v>
      </c>
      <c r="K830" s="13" t="n">
        <v>2</v>
      </c>
      <c r="L830" s="13" t="n">
        <v>2780000</v>
      </c>
      <c r="M830" s="13" t="inlineStr">
        <is>
          <t>Ref: 00000505 | Hayashi | https://harakiimoveis.com.br/imovel/00000505/</t>
        </is>
      </c>
      <c r="N830" s="13" t="inlineStr">
        <is>
          <t>Novo</t>
        </is>
      </c>
      <c r="O830" s="13" t="inlineStr"/>
    </row>
    <row r="831">
      <c r="A831" s="13" t="inlineStr">
        <is>
          <t>2026-06-28</t>
        </is>
      </c>
      <c r="B831" s="13" t="inlineStr">
        <is>
          <t>harakiimoveis.com.br</t>
        </is>
      </c>
      <c r="C831" s="13" t="inlineStr">
        <is>
          <t>Haraki Imóveis</t>
        </is>
      </c>
      <c r="D831" s="13" t="inlineStr"/>
      <c r="E831" s="13" t="inlineStr">
        <is>
          <t>Imóvel</t>
        </is>
      </c>
      <c r="F831" s="13" t="inlineStr">
        <is>
          <t>Avenida José Fattori, Parque Industrial Bandeirantes</t>
        </is>
      </c>
      <c r="G831" s="13" t="n">
        <v>6660</v>
      </c>
      <c r="H831" s="13" t="inlineStr"/>
      <c r="I831" s="13" t="inlineStr"/>
      <c r="K831" s="13" t="inlineStr"/>
      <c r="L831" s="13" t="n">
        <v>3000000</v>
      </c>
      <c r="M831" s="13" t="inlineStr">
        <is>
          <t>Ref: 00000087 | https://harakiimoveis.com.br/imovel/00000087/</t>
        </is>
      </c>
      <c r="N831" s="13" t="inlineStr">
        <is>
          <t>Novo</t>
        </is>
      </c>
      <c r="O831" s="13" t="inlineStr"/>
    </row>
    <row r="832">
      <c r="A832" s="13" t="inlineStr">
        <is>
          <t>2026-06-28</t>
        </is>
      </c>
      <c r="B832" s="13" t="inlineStr">
        <is>
          <t>harakiimoveis.com.br</t>
        </is>
      </c>
      <c r="C832" s="13" t="inlineStr">
        <is>
          <t>Haraki Imóveis</t>
        </is>
      </c>
      <c r="D832" s="13" t="inlineStr"/>
      <c r="E832" s="13" t="inlineStr">
        <is>
          <t>Imóvel</t>
        </is>
      </c>
      <c r="F832" s="13" t="inlineStr">
        <is>
          <t>Rua Arthur Thomas, 943, Zona 01 - Centro</t>
        </is>
      </c>
      <c r="G832" s="13" t="n">
        <v>268</v>
      </c>
      <c r="H832" s="13" t="inlineStr"/>
      <c r="I832" s="13" t="inlineStr"/>
      <c r="K832" s="13" t="inlineStr"/>
      <c r="L832" s="13" t="n">
        <v>3200000</v>
      </c>
      <c r="M832" s="13" t="inlineStr">
        <is>
          <t>Ref: 00000141 | https://harakiimoveis.com.br/imovel/00000141/</t>
        </is>
      </c>
      <c r="N832" s="13" t="inlineStr">
        <is>
          <t>Novo</t>
        </is>
      </c>
      <c r="O832" s="13" t="inlineStr"/>
    </row>
    <row r="833">
      <c r="A833" s="13" t="inlineStr">
        <is>
          <t>2026-06-28</t>
        </is>
      </c>
      <c r="B833" s="13" t="inlineStr">
        <is>
          <t>harakiimoveis.com.br</t>
        </is>
      </c>
      <c r="C833" s="13" t="inlineStr">
        <is>
          <t>Haraki Imóveis</t>
        </is>
      </c>
      <c r="D833" s="13" t="inlineStr"/>
      <c r="E833" s="13" t="inlineStr">
        <is>
          <t>Imóvel</t>
        </is>
      </c>
      <c r="F833" s="13" t="inlineStr">
        <is>
          <t>Praça Henrique Fregadolli, 310, Jardim Ipanema</t>
        </is>
      </c>
      <c r="G833" s="13" t="n">
        <v>380</v>
      </c>
      <c r="H833" s="13" t="n">
        <v>4</v>
      </c>
      <c r="I833" s="13" t="n">
        <v>5</v>
      </c>
      <c r="K833" s="13" t="n">
        <v>2</v>
      </c>
      <c r="L833" s="13" t="n">
        <v>3500000</v>
      </c>
      <c r="M833" s="13" t="inlineStr">
        <is>
          <t>Ref: 00000065 | Everest | https://harakiimoveis.com.br/imovel/00000065/</t>
        </is>
      </c>
      <c r="N833" s="13" t="inlineStr">
        <is>
          <t>Novo</t>
        </is>
      </c>
      <c r="O833" s="13" t="inlineStr"/>
    </row>
    <row r="834">
      <c r="A834" s="13" t="inlineStr">
        <is>
          <t>2026-06-28</t>
        </is>
      </c>
      <c r="B834" s="13" t="inlineStr">
        <is>
          <t>harakiimoveis.com.br</t>
        </is>
      </c>
      <c r="C834" s="13" t="inlineStr">
        <is>
          <t>Haraki Imóveis</t>
        </is>
      </c>
      <c r="D834" s="13" t="inlineStr"/>
      <c r="E834" s="13" t="inlineStr">
        <is>
          <t>Imóvel</t>
        </is>
      </c>
      <c r="F834" s="13" t="inlineStr">
        <is>
          <t>Rua Pioneiro Domingos Salgueiro, 541, Jardim Guaporé</t>
        </is>
      </c>
      <c r="G834" s="13" t="n">
        <v>530</v>
      </c>
      <c r="H834" s="13" t="n">
        <v>4</v>
      </c>
      <c r="I834" s="13" t="n">
        <v>6</v>
      </c>
      <c r="K834" s="13" t="n">
        <v>5</v>
      </c>
      <c r="L834" s="13" t="n">
        <v>3900000</v>
      </c>
      <c r="M834" s="13" t="inlineStr">
        <is>
          <t>Ref: 00000217 | Portal de Segovia | https://harakiimoveis.com.br/imovel/00000217/</t>
        </is>
      </c>
      <c r="N834" s="13" t="inlineStr">
        <is>
          <t>Novo</t>
        </is>
      </c>
      <c r="O834" s="13" t="inlineStr"/>
    </row>
    <row r="835">
      <c r="A835" s="13" t="inlineStr">
        <is>
          <t>2026-06-28</t>
        </is>
      </c>
      <c r="B835" s="13" t="inlineStr">
        <is>
          <t>harakiimoveis.com.br</t>
        </is>
      </c>
      <c r="C835" s="13" t="inlineStr">
        <is>
          <t>Haraki Imóveis</t>
        </is>
      </c>
      <c r="D835" s="13" t="inlineStr"/>
      <c r="E835" s="13" t="inlineStr">
        <is>
          <t>Imóvel</t>
        </is>
      </c>
      <c r="F835" s="13" t="inlineStr">
        <is>
          <t>Rua Rodolfo Cremm, 4028, Jardim Colina Verde</t>
        </is>
      </c>
      <c r="G835" s="13" t="n">
        <v>6000</v>
      </c>
      <c r="H835" s="13" t="inlineStr"/>
      <c r="I835" s="13" t="inlineStr"/>
      <c r="K835" s="13" t="inlineStr"/>
      <c r="L835" s="13" t="n">
        <v>4800000</v>
      </c>
      <c r="M835" s="13" t="inlineStr">
        <is>
          <t>Ref: 00000426 | https://harakiimoveis.com.br/imovel/00000426/</t>
        </is>
      </c>
      <c r="N835" s="13" t="inlineStr">
        <is>
          <t>Novo</t>
        </is>
      </c>
      <c r="O835" s="13" t="inlineStr"/>
    </row>
    <row r="836">
      <c r="A836" s="13" t="inlineStr">
        <is>
          <t>2026-06-28</t>
        </is>
      </c>
      <c r="B836" s="13" t="inlineStr">
        <is>
          <t>massaruimoveis.com.br</t>
        </is>
      </c>
      <c r="C836" s="13" t="inlineStr">
        <is>
          <t>Massaru Imóveis</t>
        </is>
      </c>
      <c r="D836" s="13" t="inlineStr"/>
      <c r="E836" s="13" t="inlineStr">
        <is>
          <t>Apartamento</t>
        </is>
      </c>
      <c r="F836" s="13" t="inlineStr">
        <is>
          <t>Rua Rosana Cambaúva Cordeiro, 101, Jardim Everest</t>
        </is>
      </c>
      <c r="G836" s="13" t="inlineStr"/>
      <c r="H836" s="13" t="n">
        <v>1</v>
      </c>
      <c r="I836" s="13" t="n">
        <v>3</v>
      </c>
      <c r="K836" s="13" t="n">
        <v>1</v>
      </c>
      <c r="L836" s="13" t="n">
        <v>550000</v>
      </c>
      <c r="M836" s="13" t="inlineStr">
        <is>
          <t>Ref: 00000829 | https://massaruimoveis.com.br/imovel/00000829/</t>
        </is>
      </c>
      <c r="N836" s="13" t="inlineStr">
        <is>
          <t>Novo</t>
        </is>
      </c>
      <c r="O836" s="13" t="inlineStr"/>
    </row>
    <row r="837">
      <c r="A837" s="13" t="inlineStr">
        <is>
          <t>2026-06-28</t>
        </is>
      </c>
      <c r="B837" s="13" t="inlineStr">
        <is>
          <t>massaruimoveis.com.br</t>
        </is>
      </c>
      <c r="C837" s="13" t="inlineStr">
        <is>
          <t>Massaru Imóveis</t>
        </is>
      </c>
      <c r="D837" s="13" t="inlineStr"/>
      <c r="E837" s="13" t="inlineStr">
        <is>
          <t>Apartamento</t>
        </is>
      </c>
      <c r="F837" s="13" t="inlineStr">
        <is>
          <t>Rua Fatmé Said Chamseddine, s/n, Jardim Barcelona</t>
        </is>
      </c>
      <c r="G837" s="13" t="n">
        <v>113</v>
      </c>
      <c r="H837" s="13" t="n">
        <v>1</v>
      </c>
      <c r="I837" s="13" t="n">
        <v>2</v>
      </c>
      <c r="K837" s="13" t="n">
        <v>2</v>
      </c>
      <c r="L837" s="13" t="n">
        <v>550000</v>
      </c>
      <c r="M837" s="13" t="inlineStr">
        <is>
          <t>Ref: 00000890 | https://massaruimoveis.com.br/imovel/00000890/</t>
        </is>
      </c>
      <c r="N837" s="13" t="inlineStr">
        <is>
          <t>Novo</t>
        </is>
      </c>
      <c r="O837" s="13" t="inlineStr"/>
    </row>
    <row r="838">
      <c r="A838" s="13" t="inlineStr">
        <is>
          <t>2026-06-28</t>
        </is>
      </c>
      <c r="B838" s="13" t="inlineStr">
        <is>
          <t>massaruimoveis.com.br</t>
        </is>
      </c>
      <c r="C838" s="13" t="inlineStr">
        <is>
          <t>Massaru Imóveis</t>
        </is>
      </c>
      <c r="D838" s="13" t="inlineStr"/>
      <c r="E838" s="13" t="inlineStr">
        <is>
          <t>Apartamento</t>
        </is>
      </c>
      <c r="F838" s="13" t="inlineStr">
        <is>
          <t>Rua Doutor José Chrisóstomo Capinan, 125, Jardim América</t>
        </is>
      </c>
      <c r="G838" s="13" t="n">
        <v>180.05</v>
      </c>
      <c r="H838" s="13" t="n">
        <v>1</v>
      </c>
      <c r="I838" s="13" t="n">
        <v>1</v>
      </c>
      <c r="K838" s="13" t="n">
        <v>4</v>
      </c>
      <c r="L838" s="13" t="n">
        <v>600000</v>
      </c>
      <c r="M838" s="13" t="inlineStr">
        <is>
          <t>Ref: 00000764 | https://massaruimoveis.com.br/imovel/00000764/</t>
        </is>
      </c>
      <c r="N838" s="13" t="inlineStr">
        <is>
          <t>Novo</t>
        </is>
      </c>
      <c r="O838" s="13" t="inlineStr"/>
    </row>
    <row r="839">
      <c r="A839" s="13" t="inlineStr">
        <is>
          <t>2026-06-28</t>
        </is>
      </c>
      <c r="B839" s="13" t="inlineStr">
        <is>
          <t>massaruimoveis.com.br</t>
        </is>
      </c>
      <c r="C839" s="13" t="inlineStr">
        <is>
          <t>Massaru Imóveis</t>
        </is>
      </c>
      <c r="D839" s="13" t="inlineStr"/>
      <c r="E839" s="13" t="inlineStr">
        <is>
          <t>Apartamento</t>
        </is>
      </c>
      <c r="F839" s="13" t="inlineStr">
        <is>
          <t>Rua Distrito Federal, 177, Chácara Paulista</t>
        </is>
      </c>
      <c r="G839" s="13" t="n">
        <v>79.98999999999999</v>
      </c>
      <c r="H839" s="13" t="n">
        <v>1</v>
      </c>
      <c r="I839" s="13" t="n">
        <v>2</v>
      </c>
      <c r="K839" s="13" t="n">
        <v>2</v>
      </c>
      <c r="L839" s="13" t="n">
        <v>726400</v>
      </c>
      <c r="M839" s="13" t="inlineStr">
        <is>
          <t>Ref: 00000449 | Harmony Residence | https://massaruimoveis.com.br/imovel/00000449/</t>
        </is>
      </c>
      <c r="N839" s="13" t="inlineStr">
        <is>
          <t>Novo</t>
        </is>
      </c>
      <c r="O839" s="13" t="inlineStr"/>
    </row>
    <row r="840">
      <c r="A840" s="13" t="inlineStr">
        <is>
          <t>2026-06-28</t>
        </is>
      </c>
      <c r="B840" s="13" t="inlineStr">
        <is>
          <t>massaruimoveis.com.br</t>
        </is>
      </c>
      <c r="C840" s="13" t="inlineStr">
        <is>
          <t>Massaru Imóveis</t>
        </is>
      </c>
      <c r="D840" s="13" t="inlineStr"/>
      <c r="E840" s="13" t="inlineStr">
        <is>
          <t>Apartamento</t>
        </is>
      </c>
      <c r="F840" s="13" t="inlineStr">
        <is>
          <t>Rua Arthur Thomas, 830, Zona 01 - Centro</t>
        </is>
      </c>
      <c r="G840" s="13" t="n">
        <v>207.2</v>
      </c>
      <c r="H840" s="13" t="n"/>
      <c r="I840" s="13" t="n">
        <v>3</v>
      </c>
      <c r="K840" s="13" t="n">
        <v>2</v>
      </c>
      <c r="L840" s="13" t="n">
        <v>2250000</v>
      </c>
      <c r="M840" s="13" t="inlineStr">
        <is>
          <t>Ref: 00000445 | Solarium Residence | https://massaruimoveis.com.br/imovel/00000445/</t>
        </is>
      </c>
      <c r="N840" s="13" t="inlineStr">
        <is>
          <t>Novo</t>
        </is>
      </c>
      <c r="O840" s="13" t="inlineStr"/>
    </row>
    <row r="841">
      <c r="A841" s="13" t="inlineStr">
        <is>
          <t>2026-06-28</t>
        </is>
      </c>
      <c r="B841" s="13" t="inlineStr">
        <is>
          <t>massaruimoveis.com.br</t>
        </is>
      </c>
      <c r="C841" s="13" t="inlineStr">
        <is>
          <t>Massaru Imóveis</t>
        </is>
      </c>
      <c r="D841" s="13" t="inlineStr"/>
      <c r="E841" s="13" t="inlineStr">
        <is>
          <t>Apartamento</t>
        </is>
      </c>
      <c r="F841" s="13" t="inlineStr">
        <is>
          <t>Rua Carlos Meneghetti, 257, Jardim Cerro Azul</t>
        </is>
      </c>
      <c r="G841" s="13" t="n">
        <v>72</v>
      </c>
      <c r="H841" s="13" t="n">
        <v>1</v>
      </c>
      <c r="I841" s="13" t="n">
        <v>1</v>
      </c>
      <c r="K841" s="13" t="n">
        <v>1</v>
      </c>
      <c r="L841" s="13" t="inlineStr"/>
      <c r="M841" s="13" t="inlineStr">
        <is>
          <t>Ref: 00000844 | Villa Serena | https://massaruimoveis.com.br/imovel/00000844/</t>
        </is>
      </c>
      <c r="N841" s="13" t="inlineStr">
        <is>
          <t>Novo</t>
        </is>
      </c>
      <c r="O841" s="13" t="inlineStr"/>
    </row>
    <row r="842">
      <c r="A842" s="13" t="inlineStr">
        <is>
          <t>2026-06-28</t>
        </is>
      </c>
      <c r="B842" s="13" t="inlineStr">
        <is>
          <t>massaruimoveis.com.br</t>
        </is>
      </c>
      <c r="C842" s="13" t="inlineStr">
        <is>
          <t>Massaru Imóveis</t>
        </is>
      </c>
      <c r="D842" s="13" t="inlineStr"/>
      <c r="E842" s="13" t="inlineStr">
        <is>
          <t>Apartamento</t>
        </is>
      </c>
      <c r="F842" s="13" t="inlineStr">
        <is>
          <t>Rua Guaritá, 751, Vila Bosque</t>
        </is>
      </c>
      <c r="G842" s="13" t="n">
        <v>70</v>
      </c>
      <c r="H842" s="13" t="n">
        <v>1</v>
      </c>
      <c r="I842" s="13" t="n">
        <v>1</v>
      </c>
      <c r="K842" s="13" t="n">
        <v>1</v>
      </c>
      <c r="L842" s="13" t="inlineStr"/>
      <c r="M842" s="13" t="inlineStr">
        <is>
          <t>Ref: 00000850 | Portal dos Ipês | https://massaruimoveis.com.br/imovel/00000850/</t>
        </is>
      </c>
      <c r="N842" s="13" t="inlineStr">
        <is>
          <t>Novo</t>
        </is>
      </c>
      <c r="O842" s="13" t="inlineStr"/>
    </row>
    <row r="843">
      <c r="A843" s="13" t="inlineStr">
        <is>
          <t>2026-06-28</t>
        </is>
      </c>
      <c r="B843" s="13" t="inlineStr">
        <is>
          <t>massaruimoveis.com.br</t>
        </is>
      </c>
      <c r="C843" s="13" t="inlineStr">
        <is>
          <t>Massaru Imóveis</t>
        </is>
      </c>
      <c r="D843" s="13" t="inlineStr"/>
      <c r="E843" s="13" t="inlineStr">
        <is>
          <t>Apartamento</t>
        </is>
      </c>
      <c r="F843" s="13" t="inlineStr">
        <is>
          <t>Rua Gino Buozo, 139, Jardim dos Pássaros</t>
        </is>
      </c>
      <c r="G843" s="13" t="n">
        <v>159</v>
      </c>
      <c r="H843" s="13" t="inlineStr"/>
      <c r="I843" s="13" t="inlineStr"/>
      <c r="K843" s="13" t="inlineStr"/>
      <c r="L843" s="13" t="n">
        <v>125000</v>
      </c>
      <c r="M843" s="13" t="inlineStr">
        <is>
          <t>Ref: 00000108 | https://massaruimoveis.com.br/imovel/00000108/</t>
        </is>
      </c>
      <c r="N843" s="13" t="inlineStr">
        <is>
          <t>Novo</t>
        </is>
      </c>
      <c r="O843" s="13" t="inlineStr"/>
    </row>
    <row r="844">
      <c r="A844" s="13" t="inlineStr">
        <is>
          <t>2026-06-28</t>
        </is>
      </c>
      <c r="B844" s="13" t="inlineStr">
        <is>
          <t>massaruimoveis.com.br</t>
        </is>
      </c>
      <c r="C844" s="13" t="inlineStr">
        <is>
          <t>Massaru Imóveis</t>
        </is>
      </c>
      <c r="D844" s="13" t="inlineStr"/>
      <c r="E844" s="13" t="inlineStr">
        <is>
          <t>Apartamento</t>
        </is>
      </c>
      <c r="F844" s="13" t="inlineStr">
        <is>
          <t>Rua Pioneiro Waldemar Arana, 94, Loteamento Grajaú</t>
        </is>
      </c>
      <c r="G844" s="13" t="n">
        <v>150</v>
      </c>
      <c r="H844" s="13" t="inlineStr"/>
      <c r="I844" s="13" t="inlineStr"/>
      <c r="K844" s="13" t="inlineStr"/>
      <c r="L844" s="13" t="n">
        <v>160000</v>
      </c>
      <c r="M844" s="13" t="inlineStr">
        <is>
          <t>Ref: 00000696 | https://massaruimoveis.com.br/imovel/00000696/</t>
        </is>
      </c>
      <c r="N844" s="13" t="inlineStr">
        <is>
          <t>Novo</t>
        </is>
      </c>
      <c r="O844" s="13" t="inlineStr"/>
    </row>
    <row r="845">
      <c r="A845" s="13" t="inlineStr">
        <is>
          <t>2026-06-28</t>
        </is>
      </c>
      <c r="B845" s="13" t="inlineStr">
        <is>
          <t>massaruimoveis.com.br</t>
        </is>
      </c>
      <c r="C845" s="13" t="inlineStr">
        <is>
          <t>Massaru Imóveis</t>
        </is>
      </c>
      <c r="D845" s="13" t="inlineStr"/>
      <c r="E845" s="13" t="inlineStr">
        <is>
          <t>Apartamento</t>
        </is>
      </c>
      <c r="F845" s="13" t="inlineStr">
        <is>
          <t>Rua Rio Tapajós, 1770, Conjunto Res Branca Vieira</t>
        </is>
      </c>
      <c r="G845" s="13" t="n">
        <v>308.25</v>
      </c>
      <c r="H845" s="13" t="inlineStr"/>
      <c r="I845" s="13" t="inlineStr"/>
      <c r="K845" s="13" t="inlineStr"/>
      <c r="L845" s="13" t="n">
        <v>175000</v>
      </c>
      <c r="M845" s="13" t="inlineStr">
        <is>
          <t>Ref: 00001022 | https://massaruimoveis.com.br/imovel/00001022/</t>
        </is>
      </c>
      <c r="N845" s="13" t="inlineStr">
        <is>
          <t>Novo</t>
        </is>
      </c>
      <c r="O845" s="13" t="inlineStr"/>
    </row>
    <row r="846">
      <c r="A846" s="13" t="inlineStr">
        <is>
          <t>2026-06-28</t>
        </is>
      </c>
      <c r="B846" s="13" t="inlineStr">
        <is>
          <t>massaruimoveis.com.br</t>
        </is>
      </c>
      <c r="C846" s="13" t="inlineStr">
        <is>
          <t>Massaru Imóveis</t>
        </is>
      </c>
      <c r="D846" s="13" t="inlineStr"/>
      <c r="E846" s="13" t="inlineStr">
        <is>
          <t>Apartamento</t>
        </is>
      </c>
      <c r="F846" s="13" t="inlineStr">
        <is>
          <t>Rua Elísia Galhoto Weitz, 185, Jardim Dias I</t>
        </is>
      </c>
      <c r="G846" s="13" t="n">
        <v>150</v>
      </c>
      <c r="H846" s="13" t="inlineStr"/>
      <c r="I846" s="13" t="inlineStr"/>
      <c r="K846" s="13" t="inlineStr"/>
      <c r="L846" s="13" t="n">
        <v>175000</v>
      </c>
      <c r="M846" s="13" t="inlineStr">
        <is>
          <t>Ref: 00001115 | https://massaruimoveis.com.br/imovel/00001115/</t>
        </is>
      </c>
      <c r="N846" s="13" t="inlineStr">
        <is>
          <t>Novo</t>
        </is>
      </c>
      <c r="O846" s="13" t="inlineStr"/>
    </row>
    <row r="847">
      <c r="A847" s="13" t="inlineStr">
        <is>
          <t>2026-06-28</t>
        </is>
      </c>
      <c r="B847" s="13" t="inlineStr">
        <is>
          <t>massaruimoveis.com.br</t>
        </is>
      </c>
      <c r="C847" s="13" t="inlineStr">
        <is>
          <t>Massaru Imóveis</t>
        </is>
      </c>
      <c r="D847" s="13" t="inlineStr"/>
      <c r="E847" s="13" t="inlineStr">
        <is>
          <t>Apartamento</t>
        </is>
      </c>
      <c r="F847" s="13" t="inlineStr">
        <is>
          <t>Avenida Guedner, 1163, Zona 08</t>
        </is>
      </c>
      <c r="G847" s="13" t="inlineStr"/>
      <c r="H847" s="13" t="n">
        <v>12</v>
      </c>
      <c r="I847" s="13" t="n">
        <v>1</v>
      </c>
      <c r="K847" s="13" t="n">
        <v>1</v>
      </c>
      <c r="L847" s="13" t="n">
        <v>180000</v>
      </c>
      <c r="M847" s="13" t="inlineStr">
        <is>
          <t>Ref: 00001158 | Cesular | https://massaruimoveis.com.br/imovel/00001158/</t>
        </is>
      </c>
      <c r="N847" s="13" t="inlineStr">
        <is>
          <t>Novo</t>
        </is>
      </c>
      <c r="O847" s="13" t="inlineStr"/>
    </row>
    <row r="848">
      <c r="A848" s="13" t="inlineStr">
        <is>
          <t>2026-06-28</t>
        </is>
      </c>
      <c r="B848" s="13" t="inlineStr">
        <is>
          <t>massaruimoveis.com.br</t>
        </is>
      </c>
      <c r="C848" s="13" t="inlineStr">
        <is>
          <t>Massaru Imóveis</t>
        </is>
      </c>
      <c r="D848" s="13" t="inlineStr"/>
      <c r="E848" s="13" t="inlineStr">
        <is>
          <t>Apartamento</t>
        </is>
      </c>
      <c r="F848" s="13" t="inlineStr">
        <is>
          <t>Rua Cajueiro, 88, Loteamento Madrid</t>
        </is>
      </c>
      <c r="G848" s="13" t="n">
        <v>304.5</v>
      </c>
      <c r="H848" s="13" t="inlineStr"/>
      <c r="I848" s="13" t="inlineStr"/>
      <c r="K848" s="13" t="inlineStr"/>
      <c r="L848" s="13" t="n">
        <v>210000</v>
      </c>
      <c r="M848" s="13" t="inlineStr">
        <is>
          <t>Ref: 00000826 | https://massaruimoveis.com.br/imovel/00000826/</t>
        </is>
      </c>
      <c r="N848" s="13" t="inlineStr">
        <is>
          <t>Novo</t>
        </is>
      </c>
      <c r="O848" s="13" t="inlineStr"/>
    </row>
    <row r="849">
      <c r="A849" s="13" t="inlineStr">
        <is>
          <t>2026-06-28</t>
        </is>
      </c>
      <c r="B849" s="13" t="inlineStr">
        <is>
          <t>massaruimoveis.com.br</t>
        </is>
      </c>
      <c r="C849" s="13" t="inlineStr">
        <is>
          <t>Massaru Imóveis</t>
        </is>
      </c>
      <c r="D849" s="13" t="inlineStr"/>
      <c r="E849" s="13" t="inlineStr">
        <is>
          <t>Apartamento</t>
        </is>
      </c>
      <c r="F849" s="13" t="inlineStr">
        <is>
          <t>Rua Santo Mardegam, Esq. R. Amelio Barbo, Jardim Primavera (Iguatemi)</t>
        </is>
      </c>
      <c r="G849" s="13" t="n">
        <v>491.24</v>
      </c>
      <c r="H849" s="13" t="inlineStr"/>
      <c r="I849" s="13" t="inlineStr"/>
      <c r="K849" s="13" t="inlineStr"/>
      <c r="L849" s="13" t="n">
        <v>220000</v>
      </c>
      <c r="M849" s="13" t="inlineStr">
        <is>
          <t>Ref: 00000031 | https://massaruimoveis.com.br/imovel/00000031/</t>
        </is>
      </c>
      <c r="N849" s="13" t="inlineStr">
        <is>
          <t>Novo</t>
        </is>
      </c>
      <c r="O849" s="13" t="inlineStr"/>
    </row>
    <row r="850">
      <c r="A850" s="13" t="inlineStr">
        <is>
          <t>2026-06-28</t>
        </is>
      </c>
      <c r="B850" s="13" t="inlineStr">
        <is>
          <t>massaruimoveis.com.br</t>
        </is>
      </c>
      <c r="C850" s="13" t="inlineStr">
        <is>
          <t>Massaru Imóveis</t>
        </is>
      </c>
      <c r="D850" s="13" t="inlineStr"/>
      <c r="E850" s="13" t="inlineStr">
        <is>
          <t>Apartamento</t>
        </is>
      </c>
      <c r="F850" s="13" t="inlineStr">
        <is>
          <t>Avenida Tamandaré, 655, Zona 01 - Centro</t>
        </is>
      </c>
      <c r="G850" s="13" t="n">
        <v>23.3</v>
      </c>
      <c r="H850" s="13" t="n"/>
      <c r="I850" s="13" t="n">
        <v>1</v>
      </c>
      <c r="K850" s="13" t="n">
        <v>1</v>
      </c>
      <c r="L850" s="13" t="n">
        <v>220000</v>
      </c>
      <c r="M850" s="13" t="inlineStr">
        <is>
          <t>Ref: 00001054 | Via Estação Residencial | https://massaruimoveis.com.br/imovel/00001054/</t>
        </is>
      </c>
      <c r="N850" s="13" t="inlineStr">
        <is>
          <t>Novo</t>
        </is>
      </c>
      <c r="O850" s="13" t="inlineStr"/>
    </row>
    <row r="851">
      <c r="A851" s="13" t="inlineStr">
        <is>
          <t>2026-06-28</t>
        </is>
      </c>
      <c r="B851" s="13" t="inlineStr">
        <is>
          <t>massaruimoveis.com.br</t>
        </is>
      </c>
      <c r="C851" s="13" t="inlineStr">
        <is>
          <t>Massaru Imóveis</t>
        </is>
      </c>
      <c r="D851" s="13" t="inlineStr"/>
      <c r="E851" s="13" t="inlineStr">
        <is>
          <t>Apartamento</t>
        </is>
      </c>
      <c r="F851" s="13" t="inlineStr">
        <is>
          <t>Rua Vítor do Amaral, 1006, Bloco 02, Jardim Alvorada</t>
        </is>
      </c>
      <c r="G851" s="13" t="n">
        <v>43.27</v>
      </c>
      <c r="H851" s="13" t="n"/>
      <c r="I851" s="13" t="n">
        <v>2</v>
      </c>
      <c r="K851" s="13" t="n">
        <v>1</v>
      </c>
      <c r="L851" s="13" t="n">
        <v>220000</v>
      </c>
      <c r="M851" s="13" t="inlineStr">
        <is>
          <t>Ref: 00001188 | Spazio Miguel Dias | https://massaruimoveis.com.br/imovel/00001188/</t>
        </is>
      </c>
      <c r="N851" s="13" t="inlineStr">
        <is>
          <t>Novo</t>
        </is>
      </c>
      <c r="O851" s="13" t="inlineStr"/>
    </row>
    <row r="852">
      <c r="A852" s="13" t="inlineStr">
        <is>
          <t>2026-06-28</t>
        </is>
      </c>
      <c r="B852" s="13" t="inlineStr">
        <is>
          <t>massaruimoveis.com.br</t>
        </is>
      </c>
      <c r="C852" s="13" t="inlineStr">
        <is>
          <t>Massaru Imóveis</t>
        </is>
      </c>
      <c r="D852" s="13" t="inlineStr"/>
      <c r="E852" s="13" t="inlineStr">
        <is>
          <t>Apartamento</t>
        </is>
      </c>
      <c r="F852" s="13" t="inlineStr">
        <is>
          <t>Avenida 7 de Setembro, 997, Jardim Liberdade III</t>
        </is>
      </c>
      <c r="G852" s="13" t="n">
        <v>300</v>
      </c>
      <c r="H852" s="13" t="inlineStr"/>
      <c r="I852" s="13" t="inlineStr"/>
      <c r="K852" s="13" t="inlineStr"/>
      <c r="L852" s="13" t="n">
        <v>230000</v>
      </c>
      <c r="M852" s="13" t="inlineStr">
        <is>
          <t>Ref: 00000725 | https://massaruimoveis.com.br/imovel/00000725/</t>
        </is>
      </c>
      <c r="N852" s="13" t="inlineStr">
        <is>
          <t>Novo</t>
        </is>
      </c>
      <c r="O852" s="13" t="inlineStr"/>
    </row>
    <row r="853">
      <c r="A853" s="13" t="inlineStr">
        <is>
          <t>2026-06-28</t>
        </is>
      </c>
      <c r="B853" s="13" t="inlineStr">
        <is>
          <t>massaruimoveis.com.br</t>
        </is>
      </c>
      <c r="C853" s="13" t="inlineStr">
        <is>
          <t>Massaru Imóveis</t>
        </is>
      </c>
      <c r="D853" s="13" t="inlineStr"/>
      <c r="E853" s="13" t="inlineStr">
        <is>
          <t>Apartamento</t>
        </is>
      </c>
      <c r="F853" s="13" t="inlineStr">
        <is>
          <t>Rua Vítor do Amaral, 796, Jardim Alvorada</t>
        </is>
      </c>
      <c r="G853" s="13" t="n">
        <v>45.44</v>
      </c>
      <c r="H853" s="13" t="n"/>
      <c r="I853" s="13" t="n">
        <v>2</v>
      </c>
      <c r="K853" s="13" t="n">
        <v>1</v>
      </c>
      <c r="L853" s="13" t="n">
        <v>230000</v>
      </c>
      <c r="M853" s="13" t="inlineStr">
        <is>
          <t>Ref: 00001059 | Torre Alvorear II | https://massaruimoveis.com.br/imovel/00001059/</t>
        </is>
      </c>
      <c r="N853" s="13" t="inlineStr">
        <is>
          <t>Novo</t>
        </is>
      </c>
      <c r="O853" s="13" t="inlineStr"/>
    </row>
    <row r="854">
      <c r="A854" s="13" t="inlineStr">
        <is>
          <t>2026-06-28</t>
        </is>
      </c>
      <c r="B854" s="13" t="inlineStr">
        <is>
          <t>massaruimoveis.com.br</t>
        </is>
      </c>
      <c r="C854" s="13" t="inlineStr">
        <is>
          <t>Massaru Imóveis</t>
        </is>
      </c>
      <c r="D854" s="13" t="inlineStr"/>
      <c r="E854" s="13" t="inlineStr">
        <is>
          <t>Apartamento</t>
        </is>
      </c>
      <c r="F854" s="13" t="inlineStr">
        <is>
          <t>Avenida Doutor Mário Clapier Urbinati, 7, Zona 07</t>
        </is>
      </c>
      <c r="G854" s="13" t="n">
        <v>77.02</v>
      </c>
      <c r="H854" s="13" t="n"/>
      <c r="I854" s="13" t="n">
        <v>1</v>
      </c>
      <c r="K854" s="13" t="n">
        <v>2</v>
      </c>
      <c r="L854" s="13" t="n">
        <v>230000</v>
      </c>
      <c r="M854" s="13" t="inlineStr">
        <is>
          <t>Ref: 00001099 | Mauricio Schulman | https://massaruimoveis.com.br/imovel/00001099/</t>
        </is>
      </c>
      <c r="N854" s="13" t="inlineStr">
        <is>
          <t>Novo</t>
        </is>
      </c>
      <c r="O854" s="13" t="inlineStr"/>
    </row>
    <row r="855">
      <c r="A855" s="13" t="inlineStr">
        <is>
          <t>2026-06-28</t>
        </is>
      </c>
      <c r="B855" s="13" t="inlineStr">
        <is>
          <t>massaruimoveis.com.br</t>
        </is>
      </c>
      <c r="C855" s="13" t="inlineStr">
        <is>
          <t>Massaru Imóveis</t>
        </is>
      </c>
      <c r="D855" s="13" t="inlineStr"/>
      <c r="E855" s="13" t="inlineStr">
        <is>
          <t>Apartamento</t>
        </is>
      </c>
      <c r="F855" s="13" t="inlineStr">
        <is>
          <t>Rua Mandaguari, 654, Zona 07</t>
        </is>
      </c>
      <c r="G855" s="13" t="n">
        <v>66</v>
      </c>
      <c r="H855" s="13" t="n"/>
      <c r="I855" s="13" t="n">
        <v>2</v>
      </c>
      <c r="K855" s="13" t="n">
        <v>1</v>
      </c>
      <c r="L855" s="13" t="n">
        <v>250000</v>
      </c>
      <c r="M855" s="13" t="inlineStr">
        <is>
          <t>Ref: 00000019 | Meridian | https://massaruimoveis.com.br/imovel/00000019/</t>
        </is>
      </c>
      <c r="N855" s="13" t="inlineStr">
        <is>
          <t>Novo</t>
        </is>
      </c>
      <c r="O855" s="13" t="inlineStr"/>
    </row>
    <row r="856">
      <c r="A856" s="13" t="inlineStr">
        <is>
          <t>2026-06-28</t>
        </is>
      </c>
      <c r="B856" s="13" t="inlineStr">
        <is>
          <t>massaruimoveis.com.br</t>
        </is>
      </c>
      <c r="C856" s="13" t="inlineStr">
        <is>
          <t>Massaru Imóveis</t>
        </is>
      </c>
      <c r="D856" s="13" t="inlineStr"/>
      <c r="E856" s="13" t="inlineStr">
        <is>
          <t>Apartamento</t>
        </is>
      </c>
      <c r="F856" s="13" t="inlineStr">
        <is>
          <t>Rua Becervilho dos Santos, 79, Conjunto João de Barro Cidade Canção</t>
        </is>
      </c>
      <c r="G856" s="13" t="n">
        <v>150.51</v>
      </c>
      <c r="H856" s="13" t="n">
        <v>5</v>
      </c>
      <c r="I856" s="13" t="n">
        <v>3</v>
      </c>
      <c r="K856" s="13" t="n">
        <v>3</v>
      </c>
      <c r="L856" s="13" t="n">
        <v>250000</v>
      </c>
      <c r="M856" s="13" t="inlineStr">
        <is>
          <t>Ref: 00000175 | https://massaruimoveis.com.br/imovel/00000175/</t>
        </is>
      </c>
      <c r="N856" s="13" t="inlineStr">
        <is>
          <t>Novo</t>
        </is>
      </c>
      <c r="O856" s="13" t="inlineStr"/>
    </row>
    <row r="857">
      <c r="A857" s="13" t="inlineStr">
        <is>
          <t>2026-06-28</t>
        </is>
      </c>
      <c r="B857" s="13" t="inlineStr">
        <is>
          <t>massaruimoveis.com.br</t>
        </is>
      </c>
      <c r="C857" s="13" t="inlineStr">
        <is>
          <t>Massaru Imóveis</t>
        </is>
      </c>
      <c r="D857" s="13" t="inlineStr"/>
      <c r="E857" s="13" t="inlineStr">
        <is>
          <t>Apartamento</t>
        </is>
      </c>
      <c r="F857" s="13" t="inlineStr">
        <is>
          <t>Rua Nagóia, 209, Jardim Imperial II</t>
        </is>
      </c>
      <c r="G857" s="13" t="n">
        <v>155.24</v>
      </c>
      <c r="H857" s="13" t="inlineStr"/>
      <c r="I857" s="13" t="inlineStr"/>
      <c r="K857" s="13" t="inlineStr"/>
      <c r="L857" s="13" t="n">
        <v>250000</v>
      </c>
      <c r="M857" s="13" t="inlineStr">
        <is>
          <t>Ref: 00000380 | https://massaruimoveis.com.br/imovel/00000380/</t>
        </is>
      </c>
      <c r="N857" s="13" t="inlineStr">
        <is>
          <t>Novo</t>
        </is>
      </c>
      <c r="O857" s="13" t="inlineStr"/>
    </row>
    <row r="858">
      <c r="A858" s="13" t="inlineStr">
        <is>
          <t>2026-06-28</t>
        </is>
      </c>
      <c r="B858" s="13" t="inlineStr">
        <is>
          <t>massaruimoveis.com.br</t>
        </is>
      </c>
      <c r="C858" s="13" t="inlineStr">
        <is>
          <t>Massaru Imóveis</t>
        </is>
      </c>
      <c r="D858" s="13" t="inlineStr"/>
      <c r="E858" s="13" t="inlineStr">
        <is>
          <t>Apartamento</t>
        </is>
      </c>
      <c r="F858" s="13" t="inlineStr">
        <is>
          <t>Rua Maria Aparecida Bragion Pignata, 110, Chácaras Aeroporto</t>
        </is>
      </c>
      <c r="G858" s="13" t="n">
        <v>42.47</v>
      </c>
      <c r="H858" s="13" t="n"/>
      <c r="I858" s="13" t="n">
        <v>2</v>
      </c>
      <c r="K858" s="13" t="n">
        <v>1</v>
      </c>
      <c r="L858" s="13" t="n">
        <v>250000</v>
      </c>
      <c r="M858" s="13" t="inlineStr">
        <is>
          <t>Ref: 00000731 | Marapé | https://massaruimoveis.com.br/imovel/00000731/</t>
        </is>
      </c>
      <c r="N858" s="13" t="inlineStr">
        <is>
          <t>Novo</t>
        </is>
      </c>
      <c r="O858" s="13" t="inlineStr"/>
    </row>
    <row r="859">
      <c r="A859" s="13" t="inlineStr">
        <is>
          <t>2026-06-28</t>
        </is>
      </c>
      <c r="B859" s="13" t="inlineStr">
        <is>
          <t>massaruimoveis.com.br</t>
        </is>
      </c>
      <c r="C859" s="13" t="inlineStr">
        <is>
          <t>Massaru Imóveis</t>
        </is>
      </c>
      <c r="D859" s="13" t="inlineStr"/>
      <c r="E859" s="13" t="inlineStr">
        <is>
          <t>Apartamento</t>
        </is>
      </c>
      <c r="F859" s="13" t="inlineStr">
        <is>
          <t>Rua Marechal Floriano Peixoto, 1487, Zona 07</t>
        </is>
      </c>
      <c r="G859" s="13" t="n">
        <v>39.53</v>
      </c>
      <c r="H859" s="13" t="n"/>
      <c r="I859" s="13" t="n">
        <v>1</v>
      </c>
      <c r="K859" s="13" t="n">
        <v>1</v>
      </c>
      <c r="L859" s="13" t="n">
        <v>260000</v>
      </c>
      <c r="M859" s="13" t="inlineStr">
        <is>
          <t>Ref: 00001200 | Volpi | https://massaruimoveis.com.br/imovel/00001200/</t>
        </is>
      </c>
      <c r="N859" s="13" t="inlineStr">
        <is>
          <t>Novo</t>
        </is>
      </c>
      <c r="O859" s="13" t="inlineStr"/>
    </row>
    <row r="860">
      <c r="A860" s="13" t="inlineStr">
        <is>
          <t>2026-06-28</t>
        </is>
      </c>
      <c r="B860" s="13" t="inlineStr">
        <is>
          <t>massaruimoveis.com.br</t>
        </is>
      </c>
      <c r="C860" s="13" t="inlineStr">
        <is>
          <t>Massaru Imóveis</t>
        </is>
      </c>
      <c r="D860" s="13" t="inlineStr"/>
      <c r="E860" s="13" t="inlineStr">
        <is>
          <t>Apartamento</t>
        </is>
      </c>
      <c r="F860" s="13" t="inlineStr">
        <is>
          <t>Rua Hebe Camargo, 512, Res Arezzo</t>
        </is>
      </c>
      <c r="G860" s="13" t="n">
        <v>428.22</v>
      </c>
      <c r="H860" s="13" t="inlineStr"/>
      <c r="I860" s="13" t="inlineStr"/>
      <c r="K860" s="13" t="inlineStr"/>
      <c r="L860" s="13" t="n">
        <v>270000</v>
      </c>
      <c r="M860" s="13" t="inlineStr">
        <is>
          <t>Ref: 00000705 | https://massaruimoveis.com.br/imovel/00000705/</t>
        </is>
      </c>
      <c r="N860" s="13" t="inlineStr">
        <is>
          <t>Novo</t>
        </is>
      </c>
      <c r="O860" s="13" t="inlineStr"/>
    </row>
    <row r="861">
      <c r="A861" s="13" t="inlineStr">
        <is>
          <t>2026-06-28</t>
        </is>
      </c>
      <c r="B861" s="13" t="inlineStr">
        <is>
          <t>massaruimoveis.com.br</t>
        </is>
      </c>
      <c r="C861" s="13" t="inlineStr">
        <is>
          <t>Massaru Imóveis</t>
        </is>
      </c>
      <c r="D861" s="13" t="inlineStr"/>
      <c r="E861" s="13" t="inlineStr">
        <is>
          <t>Apartamento</t>
        </is>
      </c>
      <c r="F861" s="13" t="inlineStr">
        <is>
          <t>Rua Líbero Badaró, 303, Zona 07</t>
        </is>
      </c>
      <c r="G861" s="13" t="n">
        <v>49.89</v>
      </c>
      <c r="H861" s="13" t="n"/>
      <c r="I861" s="13" t="n">
        <v>1</v>
      </c>
      <c r="K861" s="13" t="n">
        <v>1</v>
      </c>
      <c r="L861" s="13" t="n">
        <v>275000</v>
      </c>
      <c r="M861" s="13" t="inlineStr">
        <is>
          <t>Ref: 00001050 | Monte Fuji | https://massaruimoveis.com.br/imovel/00001050/</t>
        </is>
      </c>
      <c r="N861" s="13" t="inlineStr">
        <is>
          <t>Novo</t>
        </is>
      </c>
      <c r="O861" s="13" t="inlineStr"/>
    </row>
    <row r="862">
      <c r="A862" s="13" t="inlineStr">
        <is>
          <t>2026-06-28</t>
        </is>
      </c>
      <c r="B862" s="13" t="inlineStr">
        <is>
          <t>massaruimoveis.com.br</t>
        </is>
      </c>
      <c r="C862" s="13" t="inlineStr">
        <is>
          <t>Massaru Imóveis</t>
        </is>
      </c>
      <c r="D862" s="13" t="inlineStr"/>
      <c r="E862" s="13" t="inlineStr">
        <is>
          <t>Apartamento</t>
        </is>
      </c>
      <c r="F862" s="13" t="inlineStr">
        <is>
          <t>Rua Antônia do Prado Moreno, 371, Jardim Rebouças</t>
        </is>
      </c>
      <c r="G862" s="13" t="n">
        <v>300.8</v>
      </c>
      <c r="H862" s="13" t="inlineStr"/>
      <c r="I862" s="13" t="inlineStr"/>
      <c r="K862" s="13" t="inlineStr"/>
      <c r="L862" s="13" t="n">
        <v>280000</v>
      </c>
      <c r="M862" s="13" t="inlineStr">
        <is>
          <t>Ref: 00000185 | https://massaruimoveis.com.br/imovel/00000185/</t>
        </is>
      </c>
      <c r="N862" s="13" t="inlineStr">
        <is>
          <t>Novo</t>
        </is>
      </c>
      <c r="O862" s="13" t="inlineStr"/>
    </row>
    <row r="863">
      <c r="A863" s="13" t="inlineStr">
        <is>
          <t>2026-06-28</t>
        </is>
      </c>
      <c r="B863" s="13" t="inlineStr">
        <is>
          <t>massaruimoveis.com.br</t>
        </is>
      </c>
      <c r="C863" s="13" t="inlineStr">
        <is>
          <t>Massaru Imóveis</t>
        </is>
      </c>
      <c r="D863" s="13" t="inlineStr"/>
      <c r="E863" s="13" t="inlineStr">
        <is>
          <t>Apartamento</t>
        </is>
      </c>
      <c r="F863" s="13" t="inlineStr">
        <is>
          <t>Rua Vítor do Amaral, 796, Jardim Alvorada</t>
        </is>
      </c>
      <c r="G863" s="13" t="n">
        <v>45.44</v>
      </c>
      <c r="H863" s="13" t="n"/>
      <c r="I863" s="13" t="n">
        <v>2</v>
      </c>
      <c r="K863" s="13" t="n">
        <v>1</v>
      </c>
      <c r="L863" s="13" t="n">
        <v>280000</v>
      </c>
      <c r="M863" s="13" t="inlineStr">
        <is>
          <t>Ref: 00001161 | Torre Alvorear II | https://massaruimoveis.com.br/imovel/00001161/</t>
        </is>
      </c>
      <c r="N863" s="13" t="inlineStr">
        <is>
          <t>Novo</t>
        </is>
      </c>
      <c r="O863" s="13" t="inlineStr"/>
    </row>
    <row r="864">
      <c r="A864" s="13" t="inlineStr">
        <is>
          <t>2026-06-28</t>
        </is>
      </c>
      <c r="B864" s="13" t="inlineStr">
        <is>
          <t>massaruimoveis.com.br</t>
        </is>
      </c>
      <c r="C864" s="13" t="inlineStr">
        <is>
          <t>Massaru Imóveis</t>
        </is>
      </c>
      <c r="D864" s="13" t="inlineStr"/>
      <c r="E864" s="13" t="inlineStr">
        <is>
          <t>Apartamento</t>
        </is>
      </c>
      <c r="F864" s="13" t="inlineStr">
        <is>
          <t>Rua Hebe Camargo, 495, Res Arezzo</t>
        </is>
      </c>
      <c r="G864" s="13" t="n">
        <v>477.47</v>
      </c>
      <c r="H864" s="13" t="inlineStr"/>
      <c r="I864" s="13" t="inlineStr"/>
      <c r="K864" s="13" t="inlineStr"/>
      <c r="L864" s="13" t="n">
        <v>286000</v>
      </c>
      <c r="M864" s="13" t="inlineStr">
        <is>
          <t>Ref: 00000706 | https://massaruimoveis.com.br/imovel/00000706/</t>
        </is>
      </c>
      <c r="N864" s="13" t="inlineStr">
        <is>
          <t>Novo</t>
        </is>
      </c>
      <c r="O864" s="13" t="inlineStr"/>
    </row>
    <row r="865">
      <c r="A865" s="13" t="inlineStr">
        <is>
          <t>2026-06-28</t>
        </is>
      </c>
      <c r="B865" s="13" t="inlineStr">
        <is>
          <t>massaruimoveis.com.br</t>
        </is>
      </c>
      <c r="C865" s="13" t="inlineStr">
        <is>
          <t>Massaru Imóveis</t>
        </is>
      </c>
      <c r="D865" s="13" t="inlineStr"/>
      <c r="E865" s="13" t="inlineStr">
        <is>
          <t>Apartamento</t>
        </is>
      </c>
      <c r="F865" s="13" t="inlineStr">
        <is>
          <t>Rua Vasco da Gama, 41, Bloco A, Vila Marumby</t>
        </is>
      </c>
      <c r="G865" s="13" t="n">
        <v>71.14</v>
      </c>
      <c r="H865" s="13" t="n"/>
      <c r="I865" s="13" t="n">
        <v>1</v>
      </c>
      <c r="K865" s="13" t="n">
        <v>2</v>
      </c>
      <c r="L865" s="13" t="n">
        <v>290000</v>
      </c>
      <c r="M865" s="13" t="inlineStr">
        <is>
          <t>Ref: 00000934 | Residencial Itália II | https://massaruimoveis.com.br/imovel/00000934/</t>
        </is>
      </c>
      <c r="N865" s="13" t="inlineStr">
        <is>
          <t>Novo</t>
        </is>
      </c>
      <c r="O865" s="13" t="inlineStr"/>
    </row>
    <row r="866">
      <c r="A866" s="13" t="inlineStr">
        <is>
          <t>2026-06-28</t>
        </is>
      </c>
      <c r="B866" s="13" t="inlineStr">
        <is>
          <t>massaruimoveis.com.br</t>
        </is>
      </c>
      <c r="C866" s="13" t="inlineStr">
        <is>
          <t>Massaru Imóveis</t>
        </is>
      </c>
      <c r="D866" s="13" t="inlineStr"/>
      <c r="E866" s="13" t="inlineStr">
        <is>
          <t>Apartamento</t>
        </is>
      </c>
      <c r="F866" s="13" t="inlineStr">
        <is>
          <t>Rua Pioneiro Braz José Jorge, 1331, Parque Hortência</t>
        </is>
      </c>
      <c r="G866" s="13" t="n">
        <v>117</v>
      </c>
      <c r="H866" s="13" t="n">
        <v>3</v>
      </c>
      <c r="I866" s="13" t="n">
        <v>1</v>
      </c>
      <c r="K866" s="13" t="n">
        <v>2</v>
      </c>
      <c r="L866" s="13" t="n">
        <v>290000</v>
      </c>
      <c r="M866" s="13" t="inlineStr">
        <is>
          <t>Ref: 00001025 | https://massaruimoveis.com.br/imovel/00001025/</t>
        </is>
      </c>
      <c r="N866" s="13" t="inlineStr">
        <is>
          <t>Novo</t>
        </is>
      </c>
      <c r="O866" s="13" t="inlineStr"/>
    </row>
    <row r="867">
      <c r="A867" s="13" t="inlineStr">
        <is>
          <t>2026-06-28</t>
        </is>
      </c>
      <c r="B867" s="13" t="inlineStr">
        <is>
          <t>massaruimoveis.com.br</t>
        </is>
      </c>
      <c r="C867" s="13" t="inlineStr">
        <is>
          <t>Massaru Imóveis</t>
        </is>
      </c>
      <c r="D867" s="13" t="inlineStr"/>
      <c r="E867" s="13" t="inlineStr">
        <is>
          <t>Apartamento</t>
        </is>
      </c>
      <c r="F867" s="13" t="inlineStr">
        <is>
          <t>Rua Pioneiro Guarino Augusto Basseto, 23, Loteamento Batel</t>
        </is>
      </c>
      <c r="G867" s="13" t="n">
        <v>98</v>
      </c>
      <c r="H867" s="13" t="n">
        <v>1</v>
      </c>
      <c r="I867" s="13" t="n">
        <v>1</v>
      </c>
      <c r="K867" s="13" t="n">
        <v>1</v>
      </c>
      <c r="L867" s="13" t="n">
        <v>295000</v>
      </c>
      <c r="M867" s="13" t="inlineStr">
        <is>
          <t>Ref: 00001111 | https://massaruimoveis.com.br/imovel/00001111/</t>
        </is>
      </c>
      <c r="N867" s="13" t="inlineStr">
        <is>
          <t>Novo</t>
        </is>
      </c>
      <c r="O867" s="13" t="inlineStr"/>
    </row>
    <row r="868">
      <c r="A868" s="13" t="inlineStr">
        <is>
          <t>2026-06-28</t>
        </is>
      </c>
      <c r="B868" s="13" t="inlineStr">
        <is>
          <t>massaruimoveis.com.br</t>
        </is>
      </c>
      <c r="C868" s="13" t="inlineStr">
        <is>
          <t>Massaru Imóveis</t>
        </is>
      </c>
      <c r="D868" s="13" t="inlineStr"/>
      <c r="E868" s="13" t="inlineStr">
        <is>
          <t>Apartamento</t>
        </is>
      </c>
      <c r="F868" s="13" t="inlineStr">
        <is>
          <t>Estrada São Domingos, Jardim São Domingos</t>
        </is>
      </c>
      <c r="G868" s="13" t="n">
        <v>2000</v>
      </c>
      <c r="H868" s="13" t="inlineStr"/>
      <c r="I868" s="13" t="inlineStr"/>
      <c r="K868" s="13" t="inlineStr"/>
      <c r="L868" s="13" t="n">
        <v>300000</v>
      </c>
      <c r="M868" s="13" t="inlineStr">
        <is>
          <t>Ref: 00000489 | https://massaruimoveis.com.br/imovel/00000489/</t>
        </is>
      </c>
      <c r="N868" s="13" t="inlineStr">
        <is>
          <t>Novo</t>
        </is>
      </c>
      <c r="O868" s="13" t="inlineStr"/>
    </row>
    <row r="869">
      <c r="A869" s="13" t="inlineStr">
        <is>
          <t>2026-06-28</t>
        </is>
      </c>
      <c r="B869" s="13" t="inlineStr">
        <is>
          <t>massaruimoveis.com.br</t>
        </is>
      </c>
      <c r="C869" s="13" t="inlineStr">
        <is>
          <t>Massaru Imóveis</t>
        </is>
      </c>
      <c r="D869" s="13" t="inlineStr"/>
      <c r="E869" s="13" t="inlineStr">
        <is>
          <t>Apartamento</t>
        </is>
      </c>
      <c r="F869" s="13" t="inlineStr">
        <is>
          <t>Rua Pioneiro Mário Marangoni, 22, A, Jardim Universo</t>
        </is>
      </c>
      <c r="G869" s="13" t="n">
        <v>88.34999999999999</v>
      </c>
      <c r="H869" s="13" t="n">
        <v>2</v>
      </c>
      <c r="I869" s="13" t="n">
        <v>1</v>
      </c>
      <c r="K869" s="13" t="n">
        <v>2</v>
      </c>
      <c r="L869" s="13" t="n">
        <v>300000</v>
      </c>
      <c r="M869" s="13" t="inlineStr">
        <is>
          <t>Ref: 00000790 | https://massaruimoveis.com.br/imovel/00000790/</t>
        </is>
      </c>
      <c r="N869" s="13" t="inlineStr">
        <is>
          <t>Novo</t>
        </is>
      </c>
      <c r="O869" s="13" t="inlineStr"/>
    </row>
    <row r="870">
      <c r="A870" s="13" t="inlineStr">
        <is>
          <t>2026-06-28</t>
        </is>
      </c>
      <c r="B870" s="13" t="inlineStr">
        <is>
          <t>massaruimoveis.com.br</t>
        </is>
      </c>
      <c r="C870" s="13" t="inlineStr">
        <is>
          <t>Massaru Imóveis</t>
        </is>
      </c>
      <c r="D870" s="13" t="inlineStr"/>
      <c r="E870" s="13" t="inlineStr">
        <is>
          <t>Apartamento</t>
        </is>
      </c>
      <c r="F870" s="13" t="inlineStr">
        <is>
          <t>Rua Paulo Alves Viana, 40, Distrito De F, Distrito de Floriano (Floriano)</t>
        </is>
      </c>
      <c r="G870" s="13" t="n">
        <v>153</v>
      </c>
      <c r="H870" s="13" t="n">
        <v>1</v>
      </c>
      <c r="I870" s="13" t="n">
        <v>1</v>
      </c>
      <c r="K870" s="13" t="n">
        <v>3</v>
      </c>
      <c r="L870" s="13" t="n">
        <v>310000</v>
      </c>
      <c r="M870" s="13" t="inlineStr">
        <is>
          <t>Ref: 00000866 | https://massaruimoveis.com.br/imovel/00000866/</t>
        </is>
      </c>
      <c r="N870" s="13" t="inlineStr">
        <is>
          <t>Novo</t>
        </is>
      </c>
      <c r="O870" s="13" t="inlineStr"/>
    </row>
    <row r="871">
      <c r="A871" s="13" t="inlineStr">
        <is>
          <t>2026-06-28</t>
        </is>
      </c>
      <c r="B871" s="13" t="inlineStr">
        <is>
          <t>massaruimoveis.com.br</t>
        </is>
      </c>
      <c r="C871" s="13" t="inlineStr">
        <is>
          <t>Massaru Imóveis</t>
        </is>
      </c>
      <c r="D871" s="13" t="inlineStr"/>
      <c r="E871" s="13" t="inlineStr">
        <is>
          <t>Apartamento</t>
        </is>
      </c>
      <c r="F871" s="13" t="inlineStr">
        <is>
          <t>Rua Radialista Osvaldo Santos, 255, Conjunto Res Ney Braga</t>
        </is>
      </c>
      <c r="G871" s="13" t="n">
        <v>170</v>
      </c>
      <c r="H871" s="13" t="n">
        <v>1</v>
      </c>
      <c r="I871" s="13" t="n">
        <v>1</v>
      </c>
      <c r="K871" s="13" t="n">
        <v>2</v>
      </c>
      <c r="L871" s="13" t="n">
        <v>320000</v>
      </c>
      <c r="M871" s="13" t="inlineStr">
        <is>
          <t>Ref: 00000027 | https://massaruimoveis.com.br/imovel/00000027/</t>
        </is>
      </c>
      <c r="N871" s="13" t="inlineStr">
        <is>
          <t>Novo</t>
        </is>
      </c>
      <c r="O871" s="13" t="inlineStr"/>
    </row>
    <row r="872">
      <c r="A872" s="13" t="inlineStr">
        <is>
          <t>2026-06-28</t>
        </is>
      </c>
      <c r="B872" s="13" t="inlineStr">
        <is>
          <t>massaruimoveis.com.br</t>
        </is>
      </c>
      <c r="C872" s="13" t="inlineStr">
        <is>
          <t>Massaru Imóveis</t>
        </is>
      </c>
      <c r="D872" s="13" t="inlineStr"/>
      <c r="E872" s="13" t="inlineStr">
        <is>
          <t>Apartamento</t>
        </is>
      </c>
      <c r="F872" s="13" t="inlineStr">
        <is>
          <t>Rua Francisco Dias de Aro, 870, Jardim Paulista III</t>
        </is>
      </c>
      <c r="G872" s="13" t="n">
        <v>451.18</v>
      </c>
      <c r="H872" s="13" t="inlineStr"/>
      <c r="I872" s="13" t="inlineStr"/>
      <c r="K872" s="13" t="inlineStr"/>
      <c r="L872" s="13" t="n">
        <v>320000</v>
      </c>
      <c r="M872" s="13" t="inlineStr">
        <is>
          <t>Ref: 00000209 | https://massaruimoveis.com.br/imovel/00000209/</t>
        </is>
      </c>
      <c r="N872" s="13" t="inlineStr">
        <is>
          <t>Novo</t>
        </is>
      </c>
      <c r="O872" s="13" t="inlineStr"/>
    </row>
    <row r="873">
      <c r="A873" s="13" t="inlineStr">
        <is>
          <t>2026-06-28</t>
        </is>
      </c>
      <c r="B873" s="13" t="inlineStr">
        <is>
          <t>massaruimoveis.com.br</t>
        </is>
      </c>
      <c r="C873" s="13" t="inlineStr">
        <is>
          <t>Massaru Imóveis</t>
        </is>
      </c>
      <c r="D873" s="13" t="inlineStr"/>
      <c r="E873" s="13" t="inlineStr">
        <is>
          <t>Apartamento</t>
        </is>
      </c>
      <c r="F873" s="13" t="inlineStr">
        <is>
          <t>Rua Pioneiro Vitório Barison, 146, Jardim São Jorge</t>
        </is>
      </c>
      <c r="G873" s="13" t="n">
        <v>360</v>
      </c>
      <c r="H873" s="13" t="inlineStr"/>
      <c r="I873" s="13" t="inlineStr"/>
      <c r="K873" s="13" t="inlineStr"/>
      <c r="L873" s="13" t="n">
        <v>320000</v>
      </c>
      <c r="M873" s="13" t="inlineStr">
        <is>
          <t>Ref: 00000928 | https://massaruimoveis.com.br/imovel/00000928/</t>
        </is>
      </c>
      <c r="N873" s="13" t="inlineStr">
        <is>
          <t>Novo</t>
        </is>
      </c>
      <c r="O873" s="13" t="inlineStr"/>
    </row>
    <row r="874">
      <c r="A874" s="13" t="inlineStr">
        <is>
          <t>2026-06-28</t>
        </is>
      </c>
      <c r="B874" s="13" t="inlineStr">
        <is>
          <t>massaruimoveis.com.br</t>
        </is>
      </c>
      <c r="C874" s="13" t="inlineStr">
        <is>
          <t>Massaru Imóveis</t>
        </is>
      </c>
      <c r="D874" s="13" t="inlineStr"/>
      <c r="E874" s="13" t="inlineStr">
        <is>
          <t>Apartamento</t>
        </is>
      </c>
      <c r="F874" s="13" t="inlineStr">
        <is>
          <t>Rua Manoel de Macedo, 226, Zona 07</t>
        </is>
      </c>
      <c r="G874" s="13" t="n">
        <v>76.34</v>
      </c>
      <c r="H874" s="13" t="n"/>
      <c r="I874" s="13" t="n">
        <v>1</v>
      </c>
      <c r="K874" s="13" t="n">
        <v>2</v>
      </c>
      <c r="L874" s="13" t="n">
        <v>320000</v>
      </c>
      <c r="M874" s="13" t="inlineStr">
        <is>
          <t>Ref: 00001045 | Residencial Vale Verde | https://massaruimoveis.com.br/imovel/00001045/</t>
        </is>
      </c>
      <c r="N874" s="13" t="inlineStr">
        <is>
          <t>Novo</t>
        </is>
      </c>
      <c r="O874" s="13" t="inlineStr"/>
    </row>
    <row r="875">
      <c r="A875" s="13" t="inlineStr">
        <is>
          <t>2026-06-28</t>
        </is>
      </c>
      <c r="B875" s="13" t="inlineStr">
        <is>
          <t>massaruimoveis.com.br</t>
        </is>
      </c>
      <c r="C875" s="13" t="inlineStr">
        <is>
          <t>Massaru Imóveis</t>
        </is>
      </c>
      <c r="D875" s="13" t="inlineStr"/>
      <c r="E875" s="13" t="inlineStr">
        <is>
          <t>Apartamento</t>
        </is>
      </c>
      <c r="F875" s="13" t="inlineStr">
        <is>
          <t>Rua Quintino Bocaiúva, 1357, Bloco 03, Zona 07</t>
        </is>
      </c>
      <c r="G875" s="13" t="n">
        <v>44.24</v>
      </c>
      <c r="H875" s="13" t="n"/>
      <c r="I875" s="13" t="n">
        <v>2</v>
      </c>
      <c r="K875" s="13" t="n">
        <v>1</v>
      </c>
      <c r="L875" s="13" t="n">
        <v>323000</v>
      </c>
      <c r="M875" s="13" t="inlineStr">
        <is>
          <t>Ref: 00000709 | Montezzi | https://massaruimoveis.com.br/imovel/00000709/</t>
        </is>
      </c>
      <c r="N875" s="13" t="inlineStr">
        <is>
          <t>Novo</t>
        </is>
      </c>
      <c r="O875" s="13" t="inlineStr"/>
    </row>
    <row r="876">
      <c r="A876" s="13" t="inlineStr">
        <is>
          <t>2026-06-28</t>
        </is>
      </c>
      <c r="B876" s="13" t="inlineStr">
        <is>
          <t>massaruimoveis.com.br</t>
        </is>
      </c>
      <c r="C876" s="13" t="inlineStr">
        <is>
          <t>Massaru Imóveis</t>
        </is>
      </c>
      <c r="D876" s="13" t="inlineStr"/>
      <c r="E876" s="13" t="inlineStr">
        <is>
          <t>Apartamento</t>
        </is>
      </c>
      <c r="F876" s="13" t="inlineStr">
        <is>
          <t>Rua Colômbia, 67, Jardim Alvorada</t>
        </is>
      </c>
      <c r="G876" s="13" t="n">
        <v>439</v>
      </c>
      <c r="H876" s="13" t="inlineStr"/>
      <c r="I876" s="13" t="inlineStr"/>
      <c r="K876" s="13" t="inlineStr"/>
      <c r="L876" s="13" t="n">
        <v>330000</v>
      </c>
      <c r="M876" s="13" t="inlineStr">
        <is>
          <t>Ref: 00000467 | https://massaruimoveis.com.br/imovel/00000467/</t>
        </is>
      </c>
      <c r="N876" s="13" t="inlineStr">
        <is>
          <t>Novo</t>
        </is>
      </c>
      <c r="O876" s="13" t="inlineStr"/>
    </row>
    <row r="877">
      <c r="A877" s="13" t="inlineStr">
        <is>
          <t>2026-06-28</t>
        </is>
      </c>
      <c r="B877" s="13" t="inlineStr">
        <is>
          <t>massaruimoveis.com.br</t>
        </is>
      </c>
      <c r="C877" s="13" t="inlineStr">
        <is>
          <t>Massaru Imóveis</t>
        </is>
      </c>
      <c r="D877" s="13" t="inlineStr"/>
      <c r="E877" s="13" t="inlineStr">
        <is>
          <t>Apartamento</t>
        </is>
      </c>
      <c r="F877" s="13" t="inlineStr">
        <is>
          <t>Rua Pioneiro Joaquim de Oliveira Freitas, Parque Tarumã</t>
        </is>
      </c>
      <c r="G877" s="13" t="n">
        <v>100.13</v>
      </c>
      <c r="H877" s="13" t="n">
        <v>1</v>
      </c>
      <c r="I877" s="13" t="n">
        <v>1</v>
      </c>
      <c r="K877" s="13" t="n">
        <v>1</v>
      </c>
      <c r="L877" s="13" t="n">
        <v>330000</v>
      </c>
      <c r="M877" s="13" t="inlineStr">
        <is>
          <t>Ref: 00000905 | https://massaruimoveis.com.br/imovel/00000905/</t>
        </is>
      </c>
      <c r="N877" s="13" t="inlineStr">
        <is>
          <t>Novo</t>
        </is>
      </c>
      <c r="O877" s="13" t="inlineStr"/>
    </row>
    <row r="878">
      <c r="A878" s="13" t="inlineStr">
        <is>
          <t>2026-06-28</t>
        </is>
      </c>
      <c r="B878" s="13" t="inlineStr">
        <is>
          <t>massaruimoveis.com.br</t>
        </is>
      </c>
      <c r="C878" s="13" t="inlineStr">
        <is>
          <t>Massaru Imóveis</t>
        </is>
      </c>
      <c r="D878" s="13" t="inlineStr"/>
      <c r="E878" s="13" t="inlineStr">
        <is>
          <t>Apartamento</t>
        </is>
      </c>
      <c r="F878" s="13" t="inlineStr">
        <is>
          <t>Rua Antônio de Paula Antonucci, 1142, Jardim Diamante</t>
        </is>
      </c>
      <c r="G878" s="13" t="n">
        <v>99</v>
      </c>
      <c r="H878" s="13" t="n">
        <v>2</v>
      </c>
      <c r="I878" s="13" t="n">
        <v>2</v>
      </c>
      <c r="K878" s="13" t="inlineStr"/>
      <c r="L878" s="13" t="n">
        <v>350000</v>
      </c>
      <c r="M878" s="13" t="inlineStr">
        <is>
          <t>Ref: 00000066 | https://massaruimoveis.com.br/imovel/00000066/</t>
        </is>
      </c>
      <c r="N878" s="13" t="inlineStr">
        <is>
          <t>Novo</t>
        </is>
      </c>
      <c r="O878" s="13" t="inlineStr"/>
    </row>
    <row r="879">
      <c r="A879" s="13" t="inlineStr">
        <is>
          <t>2026-06-28</t>
        </is>
      </c>
      <c r="B879" s="13" t="inlineStr">
        <is>
          <t>massaruimoveis.com.br</t>
        </is>
      </c>
      <c r="C879" s="13" t="inlineStr">
        <is>
          <t>Massaru Imóveis</t>
        </is>
      </c>
      <c r="D879" s="13" t="inlineStr"/>
      <c r="E879" s="13" t="inlineStr">
        <is>
          <t>Apartamento</t>
        </is>
      </c>
      <c r="F879" s="13" t="inlineStr">
        <is>
          <t>Rua Pioneiro Florindo Biaggi, 1477, Jardim São Clemente</t>
        </is>
      </c>
      <c r="G879" s="13" t="n">
        <v>69.75</v>
      </c>
      <c r="H879" s="13" t="n">
        <v>2</v>
      </c>
      <c r="I879" s="13" t="n">
        <v>1</v>
      </c>
      <c r="K879" s="13" t="n">
        <v>2</v>
      </c>
      <c r="L879" s="13" t="n">
        <v>350000</v>
      </c>
      <c r="M879" s="13" t="inlineStr">
        <is>
          <t>Ref: 00000553 | https://massaruimoveis.com.br/imovel/00000553/</t>
        </is>
      </c>
      <c r="N879" s="13" t="inlineStr">
        <is>
          <t>Novo</t>
        </is>
      </c>
      <c r="O879" s="13" t="inlineStr"/>
    </row>
    <row r="880">
      <c r="A880" s="13" t="inlineStr">
        <is>
          <t>2026-06-28</t>
        </is>
      </c>
      <c r="B880" s="13" t="inlineStr">
        <is>
          <t>massaruimoveis.com.br</t>
        </is>
      </c>
      <c r="C880" s="13" t="inlineStr">
        <is>
          <t>Massaru Imóveis</t>
        </is>
      </c>
      <c r="D880" s="13" t="inlineStr"/>
      <c r="E880" s="13" t="inlineStr">
        <is>
          <t>Apartamento</t>
        </is>
      </c>
      <c r="F880" s="13" t="inlineStr">
        <is>
          <t>Rua João Florentino, 738, Jardim Espanha</t>
        </is>
      </c>
      <c r="G880" s="13" t="n">
        <v>90</v>
      </c>
      <c r="H880" s="13" t="n">
        <v>2</v>
      </c>
      <c r="I880" s="13" t="n">
        <v>1</v>
      </c>
      <c r="K880" s="13" t="n">
        <v>2</v>
      </c>
      <c r="L880" s="13" t="n">
        <v>350000</v>
      </c>
      <c r="M880" s="13" t="inlineStr">
        <is>
          <t>Ref: 00000657 | https://massaruimoveis.com.br/imovel/00000657/</t>
        </is>
      </c>
      <c r="N880" s="13" t="inlineStr">
        <is>
          <t>Novo</t>
        </is>
      </c>
      <c r="O880" s="13" t="inlineStr"/>
    </row>
    <row r="881">
      <c r="A881" s="13" t="inlineStr">
        <is>
          <t>2026-06-28</t>
        </is>
      </c>
      <c r="B881" s="13" t="inlineStr">
        <is>
          <t>massaruimoveis.com.br</t>
        </is>
      </c>
      <c r="C881" s="13" t="inlineStr">
        <is>
          <t>Massaru Imóveis</t>
        </is>
      </c>
      <c r="D881" s="13" t="inlineStr"/>
      <c r="E881" s="13" t="inlineStr">
        <is>
          <t>Apartamento</t>
        </is>
      </c>
      <c r="F881" s="13" t="inlineStr">
        <is>
          <t>Rua Professor Bento Fernandes Dias, 106, Conjunto Hab Karina</t>
        </is>
      </c>
      <c r="G881" s="13" t="n">
        <v>152</v>
      </c>
      <c r="H881" s="13" t="n">
        <v>3</v>
      </c>
      <c r="I881" s="13" t="n">
        <v>1</v>
      </c>
      <c r="K881" s="13" t="n">
        <v>2</v>
      </c>
      <c r="L881" s="13" t="n">
        <v>350000</v>
      </c>
      <c r="M881" s="13" t="inlineStr">
        <is>
          <t>Ref: 00000699 | https://massaruimoveis.com.br/imovel/00000699/</t>
        </is>
      </c>
      <c r="N881" s="13" t="inlineStr">
        <is>
          <t>Novo</t>
        </is>
      </c>
      <c r="O881" s="13" t="inlineStr"/>
    </row>
    <row r="882">
      <c r="A882" s="13" t="inlineStr">
        <is>
          <t>2026-06-28</t>
        </is>
      </c>
      <c r="B882" s="13" t="inlineStr">
        <is>
          <t>massaruimoveis.com.br</t>
        </is>
      </c>
      <c r="C882" s="13" t="inlineStr">
        <is>
          <t>Massaru Imóveis</t>
        </is>
      </c>
      <c r="D882" s="13" t="inlineStr"/>
      <c r="E882" s="13" t="inlineStr">
        <is>
          <t>Apartamento</t>
        </is>
      </c>
      <c r="F882" s="13" t="inlineStr">
        <is>
          <t>Rua Romildo Schiavão, 49, Loteamento Sumaré</t>
        </is>
      </c>
      <c r="G882" s="13" t="n">
        <v>360.24</v>
      </c>
      <c r="H882" s="13" t="inlineStr"/>
      <c r="I882" s="13" t="inlineStr"/>
      <c r="K882" s="13" t="inlineStr"/>
      <c r="L882" s="13" t="n">
        <v>350000</v>
      </c>
      <c r="M882" s="13" t="inlineStr">
        <is>
          <t>Ref: 00000802 | https://massaruimoveis.com.br/imovel/00000802/</t>
        </is>
      </c>
      <c r="N882" s="13" t="inlineStr">
        <is>
          <t>Novo</t>
        </is>
      </c>
      <c r="O882" s="13" t="inlineStr"/>
    </row>
    <row r="883">
      <c r="A883" s="13" t="inlineStr">
        <is>
          <t>2026-06-28</t>
        </is>
      </c>
      <c r="B883" s="13" t="inlineStr">
        <is>
          <t>massaruimoveis.com.br</t>
        </is>
      </c>
      <c r="C883" s="13" t="inlineStr">
        <is>
          <t>Massaru Imóveis</t>
        </is>
      </c>
      <c r="D883" s="13" t="inlineStr"/>
      <c r="E883" s="13" t="inlineStr">
        <is>
          <t>Apartamento</t>
        </is>
      </c>
      <c r="F883" s="13" t="inlineStr">
        <is>
          <t>Rua Ouro Verde, 486, Vila Emília</t>
        </is>
      </c>
      <c r="G883" s="13" t="n">
        <v>316.13</v>
      </c>
      <c r="H883" s="13" t="inlineStr"/>
      <c r="I883" s="13" t="inlineStr"/>
      <c r="K883" s="13" t="inlineStr"/>
      <c r="L883" s="13" t="n">
        <v>360000</v>
      </c>
      <c r="M883" s="13" t="inlineStr">
        <is>
          <t>Ref: 00000614 | https://massaruimoveis.com.br/imovel/00000614/</t>
        </is>
      </c>
      <c r="N883" s="13" t="inlineStr">
        <is>
          <t>Novo</t>
        </is>
      </c>
      <c r="O883" s="13" t="inlineStr"/>
    </row>
    <row r="884">
      <c r="A884" s="13" t="inlineStr">
        <is>
          <t>2026-06-28</t>
        </is>
      </c>
      <c r="B884" s="13" t="inlineStr">
        <is>
          <t>massaruimoveis.com.br</t>
        </is>
      </c>
      <c r="C884" s="13" t="inlineStr">
        <is>
          <t>Massaru Imóveis</t>
        </is>
      </c>
      <c r="D884" s="13" t="inlineStr"/>
      <c r="E884" s="13" t="inlineStr">
        <is>
          <t>Apartamento</t>
        </is>
      </c>
      <c r="F884" s="13" t="inlineStr">
        <is>
          <t>Rua Pioneira Norvina Maria Gonçalves, 17, Jardim Império do Sol</t>
        </is>
      </c>
      <c r="G884" s="13" t="n">
        <v>79.97</v>
      </c>
      <c r="H884" s="13" t="n">
        <v>1</v>
      </c>
      <c r="I884" s="13" t="n">
        <v>1</v>
      </c>
      <c r="K884" s="13" t="n">
        <v>2</v>
      </c>
      <c r="L884" s="13" t="n">
        <v>370000</v>
      </c>
      <c r="M884" s="13" t="inlineStr">
        <is>
          <t>Ref: 00000064 | https://massaruimoveis.com.br/imovel/00000064/</t>
        </is>
      </c>
      <c r="N884" s="13" t="inlineStr">
        <is>
          <t>Novo</t>
        </is>
      </c>
      <c r="O884" s="13" t="inlineStr"/>
    </row>
    <row r="885">
      <c r="A885" s="13" t="inlineStr">
        <is>
          <t>2026-06-28</t>
        </is>
      </c>
      <c r="B885" s="13" t="inlineStr">
        <is>
          <t>massaruimoveis.com.br</t>
        </is>
      </c>
      <c r="C885" s="13" t="inlineStr">
        <is>
          <t>Massaru Imóveis</t>
        </is>
      </c>
      <c r="D885" s="13" t="inlineStr"/>
      <c r="E885" s="13" t="inlineStr">
        <is>
          <t>Apartamento</t>
        </is>
      </c>
      <c r="F885" s="13" t="inlineStr">
        <is>
          <t>Rua Gilberto Freire, 207, Vila Esperança</t>
        </is>
      </c>
      <c r="G885" s="13" t="n">
        <v>116</v>
      </c>
      <c r="H885" s="13" t="n">
        <v>2</v>
      </c>
      <c r="I885" s="13" t="n">
        <v>1</v>
      </c>
      <c r="K885" s="13" t="n">
        <v>2</v>
      </c>
      <c r="L885" s="13" t="n">
        <v>370000</v>
      </c>
      <c r="M885" s="13" t="inlineStr">
        <is>
          <t>Ref: 00000181 | https://massaruimoveis.com.br/imovel/00000181/</t>
        </is>
      </c>
      <c r="N885" s="13" t="inlineStr">
        <is>
          <t>Novo</t>
        </is>
      </c>
      <c r="O885" s="13" t="inlineStr"/>
    </row>
    <row r="886">
      <c r="A886" s="13" t="inlineStr">
        <is>
          <t>2026-06-28</t>
        </is>
      </c>
      <c r="B886" s="13" t="inlineStr">
        <is>
          <t>massaruimoveis.com.br</t>
        </is>
      </c>
      <c r="C886" s="13" t="inlineStr">
        <is>
          <t>Massaru Imóveis</t>
        </is>
      </c>
      <c r="D886" s="13" t="inlineStr"/>
      <c r="E886" s="13" t="inlineStr">
        <is>
          <t>Apartamento</t>
        </is>
      </c>
      <c r="F886" s="13" t="inlineStr">
        <is>
          <t>Rua Rui Celidônio, 41, Jardim do Carmo</t>
        </is>
      </c>
      <c r="G886" s="13" t="n">
        <v>110</v>
      </c>
      <c r="H886" s="13" t="n">
        <v>2</v>
      </c>
      <c r="I886" s="13" t="n">
        <v>1</v>
      </c>
      <c r="K886" s="13" t="n">
        <v>2</v>
      </c>
      <c r="L886" s="13" t="n">
        <v>370000</v>
      </c>
      <c r="M886" s="13" t="inlineStr">
        <is>
          <t>Ref: 00000386 | https://massaruimoveis.com.br/imovel/00000386/</t>
        </is>
      </c>
      <c r="N886" s="13" t="inlineStr">
        <is>
          <t>Novo</t>
        </is>
      </c>
      <c r="O886" s="13" t="inlineStr"/>
    </row>
    <row r="887">
      <c r="A887" s="13" t="inlineStr">
        <is>
          <t>2026-06-28</t>
        </is>
      </c>
      <c r="B887" s="13" t="inlineStr">
        <is>
          <t>massaruimoveis.com.br</t>
        </is>
      </c>
      <c r="C887" s="13" t="inlineStr">
        <is>
          <t>Massaru Imóveis</t>
        </is>
      </c>
      <c r="D887" s="13" t="inlineStr"/>
      <c r="E887" s="13" t="inlineStr">
        <is>
          <t>Apartamento</t>
        </is>
      </c>
      <c r="F887" s="13" t="inlineStr">
        <is>
          <t>Rua Osvaldo Cruz, 452, Zona 07</t>
        </is>
      </c>
      <c r="G887" s="13" t="n">
        <v>49.98</v>
      </c>
      <c r="H887" s="13" t="n"/>
      <c r="I887" s="13" t="n">
        <v>2</v>
      </c>
      <c r="K887" s="13" t="n">
        <v>1</v>
      </c>
      <c r="L887" s="13" t="n">
        <v>370000</v>
      </c>
      <c r="M887" s="13" t="inlineStr">
        <is>
          <t>Ref: 00001144 | Paranaguá Studios | https://massaruimoveis.com.br/imovel/00001144/</t>
        </is>
      </c>
      <c r="N887" s="13" t="inlineStr">
        <is>
          <t>Novo</t>
        </is>
      </c>
      <c r="O887" s="13" t="inlineStr"/>
    </row>
    <row r="888">
      <c r="A888" s="13" t="inlineStr">
        <is>
          <t>2026-06-28</t>
        </is>
      </c>
      <c r="B888" s="13" t="inlineStr">
        <is>
          <t>massaruimoveis.com.br</t>
        </is>
      </c>
      <c r="C888" s="13" t="inlineStr">
        <is>
          <t>Massaru Imóveis</t>
        </is>
      </c>
      <c r="D888" s="13" t="inlineStr"/>
      <c r="E888" s="13" t="inlineStr">
        <is>
          <t>Apartamento</t>
        </is>
      </c>
      <c r="F888" s="13" t="inlineStr">
        <is>
          <t>Rua Clodimar Pedrosa Lô, 520, Loteamento Madrid</t>
        </is>
      </c>
      <c r="G888" s="13" t="n">
        <v>70</v>
      </c>
      <c r="H888" s="13" t="n">
        <v>3</v>
      </c>
      <c r="I888" s="13" t="n">
        <v>1</v>
      </c>
      <c r="K888" s="13" t="n">
        <v>2</v>
      </c>
      <c r="L888" s="13" t="n">
        <v>370000</v>
      </c>
      <c r="M888" s="13" t="inlineStr">
        <is>
          <t>Ref: 00001185 | https://massaruimoveis.com.br/imovel/00001185/</t>
        </is>
      </c>
      <c r="N888" s="13" t="inlineStr">
        <is>
          <t>Novo</t>
        </is>
      </c>
      <c r="O888" s="13" t="inlineStr"/>
    </row>
    <row r="889">
      <c r="A889" s="13" t="inlineStr">
        <is>
          <t>2026-06-28</t>
        </is>
      </c>
      <c r="B889" s="13" t="inlineStr">
        <is>
          <t>massaruimoveis.com.br</t>
        </is>
      </c>
      <c r="C889" s="13" t="inlineStr">
        <is>
          <t>Massaru Imóveis</t>
        </is>
      </c>
      <c r="D889" s="13" t="inlineStr"/>
      <c r="E889" s="13" t="inlineStr">
        <is>
          <t>Apartamento</t>
        </is>
      </c>
      <c r="F889" s="13" t="inlineStr">
        <is>
          <t>Rua Pioneiro Manoel Vitorino Silva, 167, Conjunto Hab Sol Nascente</t>
        </is>
      </c>
      <c r="G889" s="13" t="n">
        <v>164.9</v>
      </c>
      <c r="H889" s="13" t="n">
        <v>1</v>
      </c>
      <c r="I889" s="13" t="n">
        <v>1</v>
      </c>
      <c r="K889" s="13" t="n">
        <v>3</v>
      </c>
      <c r="L889" s="13" t="n">
        <v>380000</v>
      </c>
      <c r="M889" s="13" t="inlineStr">
        <is>
          <t>Ref: 00000315 | https://massaruimoveis.com.br/imovel/00000315/</t>
        </is>
      </c>
      <c r="N889" s="13" t="inlineStr">
        <is>
          <t>Novo</t>
        </is>
      </c>
      <c r="O889" s="13" t="inlineStr"/>
    </row>
    <row r="890">
      <c r="A890" s="13" t="inlineStr">
        <is>
          <t>2026-06-28</t>
        </is>
      </c>
      <c r="B890" s="13" t="inlineStr">
        <is>
          <t>massaruimoveis.com.br</t>
        </is>
      </c>
      <c r="C890" s="13" t="inlineStr">
        <is>
          <t>Massaru Imóveis</t>
        </is>
      </c>
      <c r="D890" s="13" t="inlineStr"/>
      <c r="E890" s="13" t="inlineStr">
        <is>
          <t>Apartamento</t>
        </is>
      </c>
      <c r="F890" s="13" t="inlineStr">
        <is>
          <t>Rua Marcílio Dias, 994, Zona 03</t>
        </is>
      </c>
      <c r="G890" s="13" t="n">
        <v>46.91</v>
      </c>
      <c r="H890" s="13" t="n"/>
      <c r="I890" s="13" t="n">
        <v>2</v>
      </c>
      <c r="K890" s="13" t="n">
        <v>1</v>
      </c>
      <c r="L890" s="13" t="n">
        <v>380000</v>
      </c>
      <c r="M890" s="13" t="inlineStr">
        <is>
          <t>Ref: 00000887 | Morro das Oliveiras | https://massaruimoveis.com.br/imovel/00000887/</t>
        </is>
      </c>
      <c r="N890" s="13" t="inlineStr">
        <is>
          <t>Novo</t>
        </is>
      </c>
      <c r="O890" s="13" t="inlineStr"/>
    </row>
    <row r="891">
      <c r="A891" s="13" t="inlineStr">
        <is>
          <t>2026-06-28</t>
        </is>
      </c>
      <c r="B891" s="13" t="inlineStr">
        <is>
          <t>massaruimoveis.com.br</t>
        </is>
      </c>
      <c r="C891" s="13" t="inlineStr">
        <is>
          <t>Massaru Imóveis</t>
        </is>
      </c>
      <c r="D891" s="13" t="inlineStr"/>
      <c r="E891" s="13" t="inlineStr">
        <is>
          <t>Apartamento</t>
        </is>
      </c>
      <c r="F891" s="13" t="inlineStr">
        <is>
          <t>Avenida Pedro Taques, 5462, Esq. Rua Pio, Loteamento Sumaré</t>
        </is>
      </c>
      <c r="G891" s="13" t="n">
        <v>432.36</v>
      </c>
      <c r="H891" s="13" t="inlineStr"/>
      <c r="I891" s="13" t="inlineStr"/>
      <c r="K891" s="13" t="inlineStr"/>
      <c r="L891" s="13" t="n">
        <v>380000</v>
      </c>
      <c r="M891" s="13" t="inlineStr">
        <is>
          <t>Ref: 00000951 | https://massaruimoveis.com.br/imovel/00000951/</t>
        </is>
      </c>
      <c r="N891" s="13" t="inlineStr">
        <is>
          <t>Novo</t>
        </is>
      </c>
      <c r="O891" s="13" t="inlineStr"/>
    </row>
    <row r="892">
      <c r="A892" s="13" t="inlineStr">
        <is>
          <t>2026-06-28</t>
        </is>
      </c>
      <c r="B892" s="13" t="inlineStr">
        <is>
          <t>massaruimoveis.com.br</t>
        </is>
      </c>
      <c r="C892" s="13" t="inlineStr">
        <is>
          <t>Massaru Imóveis</t>
        </is>
      </c>
      <c r="D892" s="13" t="inlineStr"/>
      <c r="E892" s="13" t="inlineStr">
        <is>
          <t>Apartamento</t>
        </is>
      </c>
      <c r="F892" s="13" t="inlineStr">
        <is>
          <t>Rua Pioneiro Nereu Mazzer, 1261, Jardim Tóquio</t>
        </is>
      </c>
      <c r="G892" s="13" t="n">
        <v>90</v>
      </c>
      <c r="H892" s="13" t="n">
        <v>1</v>
      </c>
      <c r="I892" s="13" t="n">
        <v>1</v>
      </c>
      <c r="K892" s="13" t="n">
        <v>1</v>
      </c>
      <c r="L892" s="13" t="n">
        <v>385000</v>
      </c>
      <c r="M892" s="13" t="inlineStr">
        <is>
          <t>Ref: 00000085 | https://massaruimoveis.com.br/imovel/00000085/</t>
        </is>
      </c>
      <c r="N892" s="13" t="inlineStr">
        <is>
          <t>Novo</t>
        </is>
      </c>
      <c r="O892" s="13" t="inlineStr"/>
    </row>
    <row r="893">
      <c r="A893" s="13" t="inlineStr">
        <is>
          <t>2026-06-28</t>
        </is>
      </c>
      <c r="B893" s="13" t="inlineStr">
        <is>
          <t>massaruimoveis.com.br</t>
        </is>
      </c>
      <c r="C893" s="13" t="inlineStr">
        <is>
          <t>Massaru Imóveis</t>
        </is>
      </c>
      <c r="D893" s="13" t="inlineStr"/>
      <c r="E893" s="13" t="inlineStr">
        <is>
          <t>Apartamento</t>
        </is>
      </c>
      <c r="F893" s="13" t="inlineStr">
        <is>
          <t>Rua Satsuki Kobayashi Tsuzuki, Bom Jardim</t>
        </is>
      </c>
      <c r="G893" s="13" t="n">
        <v>400</v>
      </c>
      <c r="H893" s="13" t="inlineStr"/>
      <c r="I893" s="13" t="inlineStr"/>
      <c r="K893" s="13" t="inlineStr"/>
      <c r="L893" s="13" t="n">
        <v>390000</v>
      </c>
      <c r="M893" s="13" t="inlineStr">
        <is>
          <t>Ref: 00000288 | https://massaruimoveis.com.br/imovel/00000288/</t>
        </is>
      </c>
      <c r="N893" s="13" t="inlineStr">
        <is>
          <t>Novo</t>
        </is>
      </c>
      <c r="O893" s="13" t="inlineStr"/>
    </row>
    <row r="894">
      <c r="A894" s="13" t="inlineStr">
        <is>
          <t>2026-06-28</t>
        </is>
      </c>
      <c r="B894" s="13" t="inlineStr">
        <is>
          <t>massaruimoveis.com.br</t>
        </is>
      </c>
      <c r="C894" s="13" t="inlineStr">
        <is>
          <t>Massaru Imóveis</t>
        </is>
      </c>
      <c r="D894" s="13" t="inlineStr"/>
      <c r="E894" s="13" t="inlineStr">
        <is>
          <t>Apartamento</t>
        </is>
      </c>
      <c r="F894" s="13" t="inlineStr">
        <is>
          <t>Rua Colômbia, 918, Jardim Alvorada</t>
        </is>
      </c>
      <c r="G894" s="13" t="n">
        <v>487</v>
      </c>
      <c r="H894" s="13" t="inlineStr"/>
      <c r="I894" s="13" t="inlineStr"/>
      <c r="K894" s="13" t="inlineStr"/>
      <c r="L894" s="13" t="n">
        <v>390000</v>
      </c>
      <c r="M894" s="13" t="inlineStr">
        <is>
          <t>Ref: 00000992 | https://massaruimoveis.com.br/imovel/00000992/</t>
        </is>
      </c>
      <c r="N894" s="13" t="inlineStr">
        <is>
          <t>Novo</t>
        </is>
      </c>
      <c r="O894" s="13" t="inlineStr"/>
    </row>
    <row r="895">
      <c r="A895" s="13" t="inlineStr">
        <is>
          <t>2026-06-28</t>
        </is>
      </c>
      <c r="B895" s="13" t="inlineStr">
        <is>
          <t>massaruimoveis.com.br</t>
        </is>
      </c>
      <c r="C895" s="13" t="inlineStr">
        <is>
          <t>Massaru Imóveis</t>
        </is>
      </c>
      <c r="D895" s="13" t="inlineStr"/>
      <c r="E895" s="13" t="inlineStr">
        <is>
          <t>Apartamento</t>
        </is>
      </c>
      <c r="F895" s="13" t="inlineStr">
        <is>
          <t>Rua Pioneiro João Nunes, 549-B, Jardim Paulista</t>
        </is>
      </c>
      <c r="G895" s="13" t="n">
        <v>114</v>
      </c>
      <c r="H895" s="13" t="n">
        <v>1</v>
      </c>
      <c r="I895" s="13" t="n">
        <v>1</v>
      </c>
      <c r="K895" s="13" t="n">
        <v>2</v>
      </c>
      <c r="L895" s="13" t="n">
        <v>400000</v>
      </c>
      <c r="M895" s="13" t="inlineStr">
        <is>
          <t>Ref: 00000096 | https://massaruimoveis.com.br/imovel/00000096/</t>
        </is>
      </c>
      <c r="N895" s="13" t="inlineStr">
        <is>
          <t>Novo</t>
        </is>
      </c>
      <c r="O895" s="13" t="inlineStr"/>
    </row>
    <row r="896">
      <c r="A896" s="13" t="inlineStr">
        <is>
          <t>2026-06-28</t>
        </is>
      </c>
      <c r="B896" s="13" t="inlineStr">
        <is>
          <t>massaruimoveis.com.br</t>
        </is>
      </c>
      <c r="C896" s="13" t="inlineStr">
        <is>
          <t>Massaru Imóveis</t>
        </is>
      </c>
      <c r="D896" s="13" t="inlineStr"/>
      <c r="E896" s="13" t="inlineStr">
        <is>
          <t>Apartamento</t>
        </is>
      </c>
      <c r="F896" s="13" t="inlineStr">
        <is>
          <t>Rua 28 de Junho, 1735, Eduardo Polimento, Jardim Tupinamba</t>
        </is>
      </c>
      <c r="G896" s="13" t="n">
        <v>368</v>
      </c>
      <c r="H896" s="13" t="inlineStr"/>
      <c r="I896" s="13" t="inlineStr"/>
      <c r="K896" s="13" t="inlineStr"/>
      <c r="L896" s="13" t="n">
        <v>400000</v>
      </c>
      <c r="M896" s="13" t="inlineStr">
        <is>
          <t>Ref: 00000313 | https://massaruimoveis.com.br/imovel/00000313/</t>
        </is>
      </c>
      <c r="N896" s="13" t="inlineStr">
        <is>
          <t>Novo</t>
        </is>
      </c>
      <c r="O896" s="13" t="inlineStr"/>
    </row>
    <row r="897">
      <c r="A897" s="13" t="inlineStr">
        <is>
          <t>2026-06-28</t>
        </is>
      </c>
      <c r="B897" s="13" t="inlineStr">
        <is>
          <t>massaruimoveis.com.br</t>
        </is>
      </c>
      <c r="C897" s="13" t="inlineStr">
        <is>
          <t>Massaru Imóveis</t>
        </is>
      </c>
      <c r="D897" s="13" t="inlineStr"/>
      <c r="E897" s="13" t="inlineStr">
        <is>
          <t>Apartamento</t>
        </is>
      </c>
      <c r="F897" s="13" t="inlineStr">
        <is>
          <t>Rua Rio Congoinhas, 1060, Parque Res Tuiuti</t>
        </is>
      </c>
      <c r="G897" s="13" t="n">
        <v>160</v>
      </c>
      <c r="H897" s="13" t="n">
        <v>5</v>
      </c>
      <c r="I897" s="13" t="n">
        <v>2</v>
      </c>
      <c r="K897" s="13" t="n">
        <v>2</v>
      </c>
      <c r="L897" s="13" t="n">
        <v>400000</v>
      </c>
      <c r="M897" s="13" t="inlineStr">
        <is>
          <t>Ref: 00000872 | https://massaruimoveis.com.br/imovel/00000872/</t>
        </is>
      </c>
      <c r="N897" s="13" t="inlineStr">
        <is>
          <t>Novo</t>
        </is>
      </c>
      <c r="O897" s="13" t="inlineStr"/>
    </row>
    <row r="898">
      <c r="A898" s="13" t="inlineStr">
        <is>
          <t>2026-06-28</t>
        </is>
      </c>
      <c r="B898" s="13" t="inlineStr">
        <is>
          <t>massaruimoveis.com.br</t>
        </is>
      </c>
      <c r="C898" s="13" t="inlineStr">
        <is>
          <t>Massaru Imóveis</t>
        </is>
      </c>
      <c r="D898" s="13" t="inlineStr"/>
      <c r="E898" s="13" t="inlineStr">
        <is>
          <t>Apartamento</t>
        </is>
      </c>
      <c r="F898" s="13" t="inlineStr">
        <is>
          <t>Rua Francisco Glicério, 944, Zona 07</t>
        </is>
      </c>
      <c r="G898" s="13" t="n">
        <v>57.98</v>
      </c>
      <c r="H898" s="13" t="n"/>
      <c r="I898" s="13" t="n">
        <v>1</v>
      </c>
      <c r="K898" s="13" t="n">
        <v>2</v>
      </c>
      <c r="L898" s="13" t="n">
        <v>400000</v>
      </c>
      <c r="M898" s="13" t="inlineStr">
        <is>
          <t>Ref: 00001044 | Portland | https://massaruimoveis.com.br/imovel/00001044/</t>
        </is>
      </c>
      <c r="N898" s="13" t="inlineStr">
        <is>
          <t>Novo</t>
        </is>
      </c>
      <c r="O898" s="13" t="inlineStr"/>
    </row>
    <row r="899">
      <c r="A899" s="13" t="inlineStr">
        <is>
          <t>2026-06-28</t>
        </is>
      </c>
      <c r="B899" s="13" t="inlineStr">
        <is>
          <t>massaruimoveis.com.br</t>
        </is>
      </c>
      <c r="C899" s="13" t="inlineStr">
        <is>
          <t>Massaru Imóveis</t>
        </is>
      </c>
      <c r="D899" s="13" t="inlineStr"/>
      <c r="E899" s="13" t="inlineStr">
        <is>
          <t>Apartamento</t>
        </is>
      </c>
      <c r="F899" s="13" t="inlineStr">
        <is>
          <t>Rua Antônio José Beraldo, 38, Jardim Catedral</t>
        </is>
      </c>
      <c r="G899" s="13" t="n">
        <v>300</v>
      </c>
      <c r="H899" s="13" t="inlineStr"/>
      <c r="I899" s="13" t="inlineStr"/>
      <c r="K899" s="13" t="inlineStr"/>
      <c r="L899" s="13" t="n">
        <v>400000</v>
      </c>
      <c r="M899" s="13" t="inlineStr">
        <is>
          <t>Ref: 00001170 | https://massaruimoveis.com.br/imovel/00001170/</t>
        </is>
      </c>
      <c r="N899" s="13" t="inlineStr">
        <is>
          <t>Novo</t>
        </is>
      </c>
      <c r="O899" s="13" t="inlineStr"/>
    </row>
    <row r="900">
      <c r="A900" s="13" t="inlineStr">
        <is>
          <t>2026-06-28</t>
        </is>
      </c>
      <c r="B900" s="13" t="inlineStr">
        <is>
          <t>massaruimoveis.com.br</t>
        </is>
      </c>
      <c r="C900" s="13" t="inlineStr">
        <is>
          <t>Massaru Imóveis</t>
        </is>
      </c>
      <c r="D900" s="13" t="inlineStr"/>
      <c r="E900" s="13" t="inlineStr">
        <is>
          <t>Apartamento</t>
        </is>
      </c>
      <c r="F900" s="13" t="inlineStr">
        <is>
          <t>Rua Pioneira Alcedina Francisca Daudt, Jardim Atlanta</t>
        </is>
      </c>
      <c r="G900" s="13" t="n">
        <v>82</v>
      </c>
      <c r="H900" s="13" t="n">
        <v>1</v>
      </c>
      <c r="I900" s="13" t="n">
        <v>2</v>
      </c>
      <c r="K900" s="13" t="n">
        <v>2</v>
      </c>
      <c r="L900" s="13" t="n">
        <v>410000</v>
      </c>
      <c r="M900" s="13" t="inlineStr">
        <is>
          <t>Ref: 00000813 | https://massaruimoveis.com.br/imovel/00000813/</t>
        </is>
      </c>
      <c r="N900" s="13" t="inlineStr">
        <is>
          <t>Novo</t>
        </is>
      </c>
      <c r="O900" s="13" t="inlineStr"/>
    </row>
    <row r="901">
      <c r="A901" s="13" t="inlineStr">
        <is>
          <t>2026-06-28</t>
        </is>
      </c>
      <c r="B901" s="13" t="inlineStr">
        <is>
          <t>massaruimoveis.com.br</t>
        </is>
      </c>
      <c r="C901" s="13" t="inlineStr">
        <is>
          <t>Massaru Imóveis</t>
        </is>
      </c>
      <c r="D901" s="13" t="inlineStr"/>
      <c r="E901" s="13" t="inlineStr">
        <is>
          <t>Apartamento</t>
        </is>
      </c>
      <c r="F901" s="13" t="inlineStr">
        <is>
          <t>Rua Antônio Alves Ramalho, 15, Conjunto Hab Requiao</t>
        </is>
      </c>
      <c r="G901" s="13" t="n">
        <v>101.74</v>
      </c>
      <c r="H901" s="13" t="n">
        <v>1</v>
      </c>
      <c r="I901" s="13" t="n">
        <v>1</v>
      </c>
      <c r="K901" s="13" t="n">
        <v>3</v>
      </c>
      <c r="L901" s="13" t="n">
        <v>420000</v>
      </c>
      <c r="M901" s="13" t="inlineStr">
        <is>
          <t>Ref: 00000035 | https://massaruimoveis.com.br/imovel/00000035/</t>
        </is>
      </c>
      <c r="N901" s="13" t="inlineStr">
        <is>
          <t>Novo</t>
        </is>
      </c>
      <c r="O901" s="13" t="inlineStr"/>
    </row>
    <row r="902">
      <c r="A902" s="13" t="inlineStr">
        <is>
          <t>2026-06-28</t>
        </is>
      </c>
      <c r="B902" s="13" t="inlineStr">
        <is>
          <t>massaruimoveis.com.br</t>
        </is>
      </c>
      <c r="C902" s="13" t="inlineStr">
        <is>
          <t>Massaru Imóveis</t>
        </is>
      </c>
      <c r="D902" s="13" t="inlineStr"/>
      <c r="E902" s="13" t="inlineStr">
        <is>
          <t>Apartamento</t>
        </is>
      </c>
      <c r="F902" s="13" t="inlineStr">
        <is>
          <t>Rua João de Matos Alberto, 656, Vila Santa Izabel</t>
        </is>
      </c>
      <c r="G902" s="13" t="n">
        <v>625</v>
      </c>
      <c r="H902" s="13" t="inlineStr"/>
      <c r="I902" s="13" t="inlineStr"/>
      <c r="K902" s="13" t="inlineStr"/>
      <c r="L902" s="13" t="n">
        <v>420000</v>
      </c>
      <c r="M902" s="13" t="inlineStr">
        <is>
          <t>Ref: 00000708 | https://massaruimoveis.com.br/imovel/00000708/</t>
        </is>
      </c>
      <c r="N902" s="13" t="inlineStr">
        <is>
          <t>Novo</t>
        </is>
      </c>
      <c r="O902" s="13" t="inlineStr"/>
    </row>
    <row r="903">
      <c r="A903" s="13" t="inlineStr">
        <is>
          <t>2026-06-28</t>
        </is>
      </c>
      <c r="B903" s="13" t="inlineStr">
        <is>
          <t>massaruimoveis.com.br</t>
        </is>
      </c>
      <c r="C903" s="13" t="inlineStr">
        <is>
          <t>Massaru Imóveis</t>
        </is>
      </c>
      <c r="D903" s="13" t="inlineStr"/>
      <c r="E903" s="13" t="inlineStr">
        <is>
          <t>Apartamento</t>
        </is>
      </c>
      <c r="F903" s="13" t="inlineStr">
        <is>
          <t>Rua Pioneiro José Arduim, 648, Parque das Laranjeiras</t>
        </is>
      </c>
      <c r="G903" s="13" t="n">
        <v>100</v>
      </c>
      <c r="H903" s="13" t="n">
        <v>1</v>
      </c>
      <c r="I903" s="13" t="n">
        <v>2</v>
      </c>
      <c r="K903" s="13" t="n">
        <v>2</v>
      </c>
      <c r="L903" s="13" t="n">
        <v>430000</v>
      </c>
      <c r="M903" s="13" t="inlineStr">
        <is>
          <t>Ref: 00000577 | https://massaruimoveis.com.br/imovel/00000577/</t>
        </is>
      </c>
      <c r="N903" s="13" t="inlineStr">
        <is>
          <t>Novo</t>
        </is>
      </c>
      <c r="O903" s="13" t="inlineStr"/>
    </row>
    <row r="904">
      <c r="A904" s="13" t="inlineStr">
        <is>
          <t>2026-06-28</t>
        </is>
      </c>
      <c r="B904" s="13" t="inlineStr">
        <is>
          <t>massaruimoveis.com.br</t>
        </is>
      </c>
      <c r="C904" s="13" t="inlineStr">
        <is>
          <t>Massaru Imóveis</t>
        </is>
      </c>
      <c r="D904" s="13" t="inlineStr"/>
      <c r="E904" s="13" t="inlineStr">
        <is>
          <t>Apartamento</t>
        </is>
      </c>
      <c r="F904" s="13" t="inlineStr">
        <is>
          <t>Rua Nardina Rodrigues Johansen, 405, Loteamento Malbec</t>
        </is>
      </c>
      <c r="G904" s="13" t="n">
        <v>57</v>
      </c>
      <c r="H904" s="13" t="n"/>
      <c r="I904" s="13" t="n">
        <v>1</v>
      </c>
      <c r="K904" s="13" t="n">
        <v>2</v>
      </c>
      <c r="L904" s="13" t="n">
        <v>430000</v>
      </c>
      <c r="M904" s="13" t="inlineStr">
        <is>
          <t>Ref: 00001125 | Spazio Muscat | https://massaruimoveis.com.br/imovel/00001125/</t>
        </is>
      </c>
      <c r="N904" s="13" t="inlineStr">
        <is>
          <t>Novo</t>
        </is>
      </c>
      <c r="O904" s="13" t="inlineStr"/>
    </row>
    <row r="905">
      <c r="A905" s="13" t="inlineStr">
        <is>
          <t>2026-06-28</t>
        </is>
      </c>
      <c r="B905" s="13" t="inlineStr">
        <is>
          <t>massaruimoveis.com.br</t>
        </is>
      </c>
      <c r="C905" s="13" t="inlineStr">
        <is>
          <t>Massaru Imóveis</t>
        </is>
      </c>
      <c r="D905" s="13" t="inlineStr"/>
      <c r="E905" s="13" t="inlineStr">
        <is>
          <t>Apartamento</t>
        </is>
      </c>
      <c r="F905" s="13" t="inlineStr">
        <is>
          <t>Rua Ernesto Mariucci, 366, Bloco C, Jardim Aclimação</t>
        </is>
      </c>
      <c r="G905" s="13" t="n">
        <v>55.34</v>
      </c>
      <c r="H905" s="13" t="n">
        <v>2</v>
      </c>
      <c r="I905" s="13" t="n">
        <v>1</v>
      </c>
      <c r="K905" s="13" t="n">
        <v>1</v>
      </c>
      <c r="L905" s="13" t="n">
        <v>432000</v>
      </c>
      <c r="M905" s="13" t="inlineStr">
        <is>
          <t>Ref: 00000117 | Royal Palace | https://massaruimoveis.com.br/imovel/00000117/</t>
        </is>
      </c>
      <c r="N905" s="13" t="inlineStr">
        <is>
          <t>Novo</t>
        </is>
      </c>
      <c r="O905" s="13" t="inlineStr"/>
    </row>
    <row r="906">
      <c r="A906" s="13" t="inlineStr">
        <is>
          <t>2026-06-28</t>
        </is>
      </c>
      <c r="B906" s="13" t="inlineStr">
        <is>
          <t>massaruimoveis.com.br</t>
        </is>
      </c>
      <c r="C906" s="13" t="inlineStr">
        <is>
          <t>Massaru Imóveis</t>
        </is>
      </c>
      <c r="D906" s="13" t="inlineStr"/>
      <c r="E906" s="13" t="inlineStr">
        <is>
          <t>Apartamento</t>
        </is>
      </c>
      <c r="F906" s="13" t="inlineStr">
        <is>
          <t>Rua Pioneiro João Calvi, 351, Jardim Colina Verde</t>
        </is>
      </c>
      <c r="G906" s="13" t="n">
        <v>84</v>
      </c>
      <c r="H906" s="13" t="n">
        <v>1</v>
      </c>
      <c r="I906" s="13" t="n">
        <v>2</v>
      </c>
      <c r="K906" s="13" t="n">
        <v>3</v>
      </c>
      <c r="L906" s="13" t="n">
        <v>435000</v>
      </c>
      <c r="M906" s="13" t="inlineStr">
        <is>
          <t>Ref: 00001183 | https://massaruimoveis.com.br/imovel/00001183/</t>
        </is>
      </c>
      <c r="N906" s="13" t="inlineStr">
        <is>
          <t>Novo</t>
        </is>
      </c>
      <c r="O906" s="13" t="inlineStr"/>
    </row>
    <row r="907">
      <c r="A907" s="13" t="inlineStr">
        <is>
          <t>2026-06-28</t>
        </is>
      </c>
      <c r="B907" s="13" t="inlineStr">
        <is>
          <t>massaruimoveis.com.br</t>
        </is>
      </c>
      <c r="C907" s="13" t="inlineStr">
        <is>
          <t>Massaru Imóveis</t>
        </is>
      </c>
      <c r="D907" s="13" t="inlineStr"/>
      <c r="E907" s="13" t="inlineStr">
        <is>
          <t>Apartamento</t>
        </is>
      </c>
      <c r="F907" s="13" t="inlineStr">
        <is>
          <t>Rua Rio Samambaia, 334, Jardim Campos Elísios</t>
        </is>
      </c>
      <c r="G907" s="13" t="n">
        <v>122.21</v>
      </c>
      <c r="H907" s="13" t="n">
        <v>3</v>
      </c>
      <c r="I907" s="13" t="n">
        <v>1</v>
      </c>
      <c r="K907" s="13" t="n">
        <v>2</v>
      </c>
      <c r="L907" s="13" t="n">
        <v>450000</v>
      </c>
      <c r="M907" s="13" t="inlineStr">
        <is>
          <t>Ref: 00000070 | https://massaruimoveis.com.br/imovel/00000070/</t>
        </is>
      </c>
      <c r="N907" s="13" t="inlineStr">
        <is>
          <t>Novo</t>
        </is>
      </c>
      <c r="O907" s="13" t="inlineStr"/>
    </row>
    <row r="908">
      <c r="A908" s="13" t="inlineStr">
        <is>
          <t>2026-06-28</t>
        </is>
      </c>
      <c r="B908" s="13" t="inlineStr">
        <is>
          <t>massaruimoveis.com.br</t>
        </is>
      </c>
      <c r="C908" s="13" t="inlineStr">
        <is>
          <t>Massaru Imóveis</t>
        </is>
      </c>
      <c r="D908" s="13" t="inlineStr"/>
      <c r="E908" s="13" t="inlineStr">
        <is>
          <t>Apartamento</t>
        </is>
      </c>
      <c r="F908" s="13" t="inlineStr">
        <is>
          <t>Rua Marçal Candido Siqueira, 139, Jardim Monte Rei</t>
        </is>
      </c>
      <c r="G908" s="13" t="n">
        <v>82.8</v>
      </c>
      <c r="H908" s="13" t="n">
        <v>1</v>
      </c>
      <c r="I908" s="13" t="n">
        <v>2</v>
      </c>
      <c r="K908" s="13" t="n">
        <v>2</v>
      </c>
      <c r="L908" s="13" t="n">
        <v>450000</v>
      </c>
      <c r="M908" s="13" t="inlineStr">
        <is>
          <t>Ref: 00000199 | https://massaruimoveis.com.br/imovel/00000199/</t>
        </is>
      </c>
      <c r="N908" s="13" t="inlineStr">
        <is>
          <t>Novo</t>
        </is>
      </c>
      <c r="O908" s="13" t="inlineStr"/>
    </row>
    <row r="909">
      <c r="A909" s="13" t="inlineStr">
        <is>
          <t>2026-06-28</t>
        </is>
      </c>
      <c r="B909" s="13" t="inlineStr">
        <is>
          <t>massaruimoveis.com.br</t>
        </is>
      </c>
      <c r="C909" s="13" t="inlineStr">
        <is>
          <t>Massaru Imóveis</t>
        </is>
      </c>
      <c r="D909" s="13" t="inlineStr"/>
      <c r="E909" s="13" t="inlineStr">
        <is>
          <t>Apartamento</t>
        </is>
      </c>
      <c r="F909" s="13" t="inlineStr">
        <is>
          <t>Rua Pioneiro Joaquim Gomes Filho, 134, Bom Jardim</t>
        </is>
      </c>
      <c r="G909" s="13" t="n">
        <v>140</v>
      </c>
      <c r="H909" s="13" t="n">
        <v>1</v>
      </c>
      <c r="I909" s="13" t="n">
        <v>2</v>
      </c>
      <c r="K909" s="13" t="n">
        <v>2</v>
      </c>
      <c r="L909" s="13" t="n">
        <v>450000</v>
      </c>
      <c r="M909" s="13" t="inlineStr">
        <is>
          <t>Ref: 00000316 | https://massaruimoveis.com.br/imovel/00000316/</t>
        </is>
      </c>
      <c r="N909" s="13" t="inlineStr">
        <is>
          <t>Novo</t>
        </is>
      </c>
      <c r="O909" s="13" t="inlineStr"/>
    </row>
    <row r="910">
      <c r="A910" s="13" t="inlineStr">
        <is>
          <t>2026-06-28</t>
        </is>
      </c>
      <c r="B910" s="13" t="inlineStr">
        <is>
          <t>massaruimoveis.com.br</t>
        </is>
      </c>
      <c r="C910" s="13" t="inlineStr">
        <is>
          <t>Massaru Imóveis</t>
        </is>
      </c>
      <c r="D910" s="13" t="inlineStr"/>
      <c r="E910" s="13" t="inlineStr">
        <is>
          <t>Apartamento</t>
        </is>
      </c>
      <c r="F910" s="13" t="inlineStr">
        <is>
          <t>Rua Pioneiro Geraldo José Jorge, 738, Parque Hortência</t>
        </is>
      </c>
      <c r="G910" s="13" t="n">
        <v>97</v>
      </c>
      <c r="H910" s="13" t="n">
        <v>1</v>
      </c>
      <c r="I910" s="13" t="n">
        <v>2</v>
      </c>
      <c r="K910" s="13" t="n">
        <v>2</v>
      </c>
      <c r="L910" s="13" t="n">
        <v>450000</v>
      </c>
      <c r="M910" s="13" t="inlineStr">
        <is>
          <t>Ref: 00000679 | https://massaruimoveis.com.br/imovel/00000679/</t>
        </is>
      </c>
      <c r="N910" s="13" t="inlineStr">
        <is>
          <t>Novo</t>
        </is>
      </c>
      <c r="O910" s="13" t="inlineStr"/>
    </row>
    <row r="911">
      <c r="A911" s="13" t="inlineStr">
        <is>
          <t>2026-06-28</t>
        </is>
      </c>
      <c r="B911" s="13" t="inlineStr">
        <is>
          <t>massaruimoveis.com.br</t>
        </is>
      </c>
      <c r="C911" s="13" t="inlineStr">
        <is>
          <t>Massaru Imóveis</t>
        </is>
      </c>
      <c r="D911" s="13" t="inlineStr"/>
      <c r="E911" s="13" t="inlineStr">
        <is>
          <t>Apartamento</t>
        </is>
      </c>
      <c r="F911" s="13" t="inlineStr">
        <is>
          <t>Rua Francisco Glicério, 1370, Zona 07</t>
        </is>
      </c>
      <c r="G911" s="13" t="n">
        <v>85.14</v>
      </c>
      <c r="H911" s="13" t="n"/>
      <c r="I911" s="13" t="n">
        <v>1</v>
      </c>
      <c r="K911" s="13" t="n">
        <v>2</v>
      </c>
      <c r="L911" s="13" t="n">
        <v>450000</v>
      </c>
      <c r="M911" s="13" t="inlineStr">
        <is>
          <t>Ref: 00000823 | Fernão de Magalhães | https://massaruimoveis.com.br/imovel/00000823/</t>
        </is>
      </c>
      <c r="N911" s="13" t="inlineStr">
        <is>
          <t>Novo</t>
        </is>
      </c>
      <c r="O911" s="13" t="inlineStr"/>
    </row>
    <row r="912">
      <c r="A912" s="13" t="inlineStr">
        <is>
          <t>2026-06-28</t>
        </is>
      </c>
      <c r="B912" s="13" t="inlineStr">
        <is>
          <t>massaruimoveis.com.br</t>
        </is>
      </c>
      <c r="C912" s="13" t="inlineStr">
        <is>
          <t>Massaru Imóveis</t>
        </is>
      </c>
      <c r="D912" s="13" t="inlineStr"/>
      <c r="E912" s="13" t="inlineStr">
        <is>
          <t>Apartamento</t>
        </is>
      </c>
      <c r="F912" s="13" t="inlineStr">
        <is>
          <t>Rua Pedro Faustino de Souza, 74, Jardim Dias I</t>
        </is>
      </c>
      <c r="G912" s="13" t="n">
        <v>93.73999999999999</v>
      </c>
      <c r="H912" s="13" t="n">
        <v>4</v>
      </c>
      <c r="I912" s="13" t="n">
        <v>2</v>
      </c>
      <c r="K912" s="13" t="n">
        <v>2</v>
      </c>
      <c r="L912" s="13" t="n">
        <v>460000</v>
      </c>
      <c r="M912" s="13" t="inlineStr">
        <is>
          <t>Ref: 00000008 | https://massaruimoveis.com.br/imovel/00000008/</t>
        </is>
      </c>
      <c r="N912" s="13" t="inlineStr">
        <is>
          <t>Novo</t>
        </is>
      </c>
      <c r="O912" s="13" t="inlineStr"/>
    </row>
    <row r="913">
      <c r="A913" s="13" t="inlineStr">
        <is>
          <t>2026-06-28</t>
        </is>
      </c>
      <c r="B913" s="13" t="inlineStr">
        <is>
          <t>massaruimoveis.com.br</t>
        </is>
      </c>
      <c r="C913" s="13" t="inlineStr">
        <is>
          <t>Massaru Imóveis</t>
        </is>
      </c>
      <c r="D913" s="13" t="inlineStr"/>
      <c r="E913" s="13" t="inlineStr">
        <is>
          <t>Apartamento</t>
        </is>
      </c>
      <c r="F913" s="13" t="inlineStr">
        <is>
          <t>Viela Pioneiro Bruno Alfredo Zanotto, 13, Parque Res Quebec</t>
        </is>
      </c>
      <c r="G913" s="13" t="n">
        <v>117</v>
      </c>
      <c r="H913" s="13" t="n">
        <v>1</v>
      </c>
      <c r="I913" s="13" t="n">
        <v>3</v>
      </c>
      <c r="K913" s="13" t="n">
        <v>2</v>
      </c>
      <c r="L913" s="13" t="n">
        <v>460000</v>
      </c>
      <c r="M913" s="13" t="inlineStr">
        <is>
          <t>Ref: 00000996 | https://massaruimoveis.com.br/imovel/00000996/</t>
        </is>
      </c>
      <c r="N913" s="13" t="inlineStr">
        <is>
          <t>Novo</t>
        </is>
      </c>
      <c r="O913" s="13" t="inlineStr"/>
    </row>
    <row r="914">
      <c r="A914" s="13" t="inlineStr">
        <is>
          <t>2026-06-28</t>
        </is>
      </c>
      <c r="B914" s="13" t="inlineStr">
        <is>
          <t>massaruimoveis.com.br</t>
        </is>
      </c>
      <c r="C914" s="13" t="inlineStr">
        <is>
          <t>Massaru Imóveis</t>
        </is>
      </c>
      <c r="D914" s="13" t="inlineStr"/>
      <c r="E914" s="13" t="inlineStr">
        <is>
          <t>Apartamento</t>
        </is>
      </c>
      <c r="F914" s="13" t="inlineStr">
        <is>
          <t>Rua Cuba, Vila Morangueira</t>
        </is>
      </c>
      <c r="G914" s="13" t="n">
        <v>405.4</v>
      </c>
      <c r="H914" s="13" t="inlineStr"/>
      <c r="I914" s="13" t="inlineStr"/>
      <c r="K914" s="13" t="inlineStr"/>
      <c r="L914" s="13" t="n">
        <v>480000</v>
      </c>
      <c r="M914" s="13" t="inlineStr">
        <is>
          <t>Ref: 00000176 | https://massaruimoveis.com.br/imovel/00000176/</t>
        </is>
      </c>
      <c r="N914" s="13" t="inlineStr">
        <is>
          <t>Novo</t>
        </is>
      </c>
      <c r="O914" s="13" t="inlineStr"/>
    </row>
    <row r="915">
      <c r="A915" s="13" t="inlineStr">
        <is>
          <t>2026-06-28</t>
        </is>
      </c>
      <c r="B915" s="13" t="inlineStr">
        <is>
          <t>massaruimoveis.com.br</t>
        </is>
      </c>
      <c r="C915" s="13" t="inlineStr">
        <is>
          <t>Massaru Imóveis</t>
        </is>
      </c>
      <c r="D915" s="13" t="inlineStr"/>
      <c r="E915" s="13" t="inlineStr">
        <is>
          <t>Apartamento</t>
        </is>
      </c>
      <c r="F915" s="13" t="inlineStr">
        <is>
          <t>Rua Júlia Oliboni, 169, Jardim Novo Paulista</t>
        </is>
      </c>
      <c r="G915" s="13" t="n">
        <v>93</v>
      </c>
      <c r="H915" s="13" t="n">
        <v>1</v>
      </c>
      <c r="I915" s="13" t="n">
        <v>1</v>
      </c>
      <c r="K915" s="13" t="n">
        <v>2</v>
      </c>
      <c r="L915" s="13" t="n">
        <v>480000</v>
      </c>
      <c r="M915" s="13" t="inlineStr">
        <is>
          <t>Ref: 00001119 | https://massaruimoveis.com.br/imovel/00001119/</t>
        </is>
      </c>
      <c r="N915" s="13" t="inlineStr">
        <is>
          <t>Novo</t>
        </is>
      </c>
      <c r="O915" s="13" t="inlineStr"/>
    </row>
    <row r="916">
      <c r="A916" s="13" t="inlineStr">
        <is>
          <t>2026-06-28</t>
        </is>
      </c>
      <c r="B916" s="13" t="inlineStr">
        <is>
          <t>massaruimoveis.com.br</t>
        </is>
      </c>
      <c r="C916" s="13" t="inlineStr">
        <is>
          <t>Massaru Imóveis</t>
        </is>
      </c>
      <c r="D916" s="13" t="inlineStr"/>
      <c r="E916" s="13" t="inlineStr">
        <is>
          <t>Apartamento</t>
        </is>
      </c>
      <c r="F916" s="13" t="inlineStr">
        <is>
          <t>Rodovia Pr317, Condominio Alphaville, Parque Industrial 200</t>
        </is>
      </c>
      <c r="G916" s="13" t="n">
        <v>515</v>
      </c>
      <c r="H916" s="13" t="inlineStr"/>
      <c r="I916" s="13" t="inlineStr"/>
      <c r="K916" s="13" t="inlineStr"/>
      <c r="L916" s="13" t="n">
        <v>499000</v>
      </c>
      <c r="M916" s="13" t="inlineStr">
        <is>
          <t>Ref: 00001178 | Alphaville | https://massaruimoveis.com.br/imovel/00001178/</t>
        </is>
      </c>
      <c r="N916" s="13" t="inlineStr">
        <is>
          <t>Novo</t>
        </is>
      </c>
      <c r="O916" s="13" t="inlineStr"/>
    </row>
    <row r="917">
      <c r="A917" s="13" t="inlineStr">
        <is>
          <t>2026-06-28</t>
        </is>
      </c>
      <c r="B917" s="13" t="inlineStr">
        <is>
          <t>massaruimoveis.com.br</t>
        </is>
      </c>
      <c r="C917" s="13" t="inlineStr">
        <is>
          <t>Massaru Imóveis</t>
        </is>
      </c>
      <c r="D917" s="13" t="inlineStr"/>
      <c r="E917" s="13" t="inlineStr">
        <is>
          <t>Apartamento</t>
        </is>
      </c>
      <c r="F917" s="13" t="inlineStr">
        <is>
          <t>Rua das Azaléias, 2217, Gleba Patrimônio Maringá</t>
        </is>
      </c>
      <c r="G917" s="13" t="n">
        <v>105</v>
      </c>
      <c r="H917" s="13" t="n">
        <v>1</v>
      </c>
      <c r="I917" s="13" t="n">
        <v>1</v>
      </c>
      <c r="K917" s="13" t="n">
        <v>2</v>
      </c>
      <c r="L917" s="13" t="n">
        <v>500000</v>
      </c>
      <c r="M917" s="13" t="inlineStr">
        <is>
          <t>Ref: 00000174 | https://massaruimoveis.com.br/imovel/00000174/</t>
        </is>
      </c>
      <c r="N917" s="13" t="inlineStr">
        <is>
          <t>Novo</t>
        </is>
      </c>
      <c r="O917" s="13" t="inlineStr"/>
    </row>
    <row r="918">
      <c r="A918" s="13" t="inlineStr">
        <is>
          <t>2026-06-28</t>
        </is>
      </c>
      <c r="B918" s="13" t="inlineStr">
        <is>
          <t>massaruimoveis.com.br</t>
        </is>
      </c>
      <c r="C918" s="13" t="inlineStr">
        <is>
          <t>Massaru Imóveis</t>
        </is>
      </c>
      <c r="D918" s="13" t="inlineStr"/>
      <c r="E918" s="13" t="inlineStr">
        <is>
          <t>Apartamento</t>
        </is>
      </c>
      <c r="F918" s="13" t="inlineStr">
        <is>
          <t>Rua Hibisco, 368, Jardim Iguaçu</t>
        </is>
      </c>
      <c r="G918" s="13" t="n">
        <v>99.95999999999999</v>
      </c>
      <c r="H918" s="13" t="n">
        <v>1</v>
      </c>
      <c r="I918" s="13" t="n">
        <v>1</v>
      </c>
      <c r="K918" s="13" t="n">
        <v>2</v>
      </c>
      <c r="L918" s="13" t="n">
        <v>530000</v>
      </c>
      <c r="M918" s="13" t="inlineStr">
        <is>
          <t>Ref: 00000135 | https://massaruimoveis.com.br/imovel/00000135/</t>
        </is>
      </c>
      <c r="N918" s="13" t="inlineStr">
        <is>
          <t>Novo</t>
        </is>
      </c>
      <c r="O918" s="13" t="inlineStr"/>
    </row>
    <row r="919">
      <c r="A919" s="13" t="inlineStr">
        <is>
          <t>2026-06-28</t>
        </is>
      </c>
      <c r="B919" s="13" t="inlineStr">
        <is>
          <t>massaruimoveis.com.br</t>
        </is>
      </c>
      <c r="C919" s="13" t="inlineStr">
        <is>
          <t>Massaru Imóveis</t>
        </is>
      </c>
      <c r="D919" s="13" t="inlineStr"/>
      <c r="E919" s="13" t="inlineStr">
        <is>
          <t>Apartamento</t>
        </is>
      </c>
      <c r="F919" s="13" t="inlineStr">
        <is>
          <t>Avenida Bento Munhoz da Rocha Netto, 519, Zona 07</t>
        </is>
      </c>
      <c r="G919" s="13" t="n">
        <v>103.93</v>
      </c>
      <c r="H919" s="13" t="n"/>
      <c r="I919" s="13" t="n">
        <v>1</v>
      </c>
      <c r="K919" s="13" t="n">
        <v>1</v>
      </c>
      <c r="L919" s="13" t="n">
        <v>530000</v>
      </c>
      <c r="M919" s="13" t="inlineStr">
        <is>
          <t>Ref: 00001120 | Guarany | https://massaruimoveis.com.br/imovel/00001120/</t>
        </is>
      </c>
      <c r="N919" s="13" t="inlineStr">
        <is>
          <t>Novo</t>
        </is>
      </c>
      <c r="O919" s="13" t="inlineStr"/>
    </row>
    <row r="920">
      <c r="A920" s="13" t="inlineStr">
        <is>
          <t>2026-06-28</t>
        </is>
      </c>
      <c r="B920" s="13" t="inlineStr">
        <is>
          <t>massaruimoveis.com.br</t>
        </is>
      </c>
      <c r="C920" s="13" t="inlineStr">
        <is>
          <t>Massaru Imóveis</t>
        </is>
      </c>
      <c r="D920" s="13" t="inlineStr"/>
      <c r="E920" s="13" t="inlineStr">
        <is>
          <t>Apartamento</t>
        </is>
      </c>
      <c r="F920" s="13" t="inlineStr">
        <is>
          <t>Rodovia Pr317, Condominio Alphaville, Parque Industrial 200</t>
        </is>
      </c>
      <c r="G920" s="13" t="n">
        <v>502.09</v>
      </c>
      <c r="H920" s="13" t="inlineStr"/>
      <c r="I920" s="13" t="inlineStr"/>
      <c r="K920" s="13" t="inlineStr"/>
      <c r="L920" s="13" t="n">
        <v>549000</v>
      </c>
      <c r="M920" s="13" t="inlineStr">
        <is>
          <t>Ref: 00000921 | Alphaville | https://massaruimoveis.com.br/imovel/00000921/</t>
        </is>
      </c>
      <c r="N920" s="13" t="inlineStr">
        <is>
          <t>Novo</t>
        </is>
      </c>
      <c r="O920" s="13" t="inlineStr"/>
    </row>
    <row r="921">
      <c r="A921" s="13" t="inlineStr">
        <is>
          <t>2026-06-28</t>
        </is>
      </c>
      <c r="B921" s="13" t="inlineStr">
        <is>
          <t>massaruimoveis.com.br</t>
        </is>
      </c>
      <c r="C921" s="13" t="inlineStr">
        <is>
          <t>Massaru Imóveis</t>
        </is>
      </c>
      <c r="D921" s="13" t="inlineStr"/>
      <c r="E921" s="13" t="inlineStr">
        <is>
          <t>Apartamento</t>
        </is>
      </c>
      <c r="F921" s="13" t="inlineStr">
        <is>
          <t>Rodovia Pr317, Parque Industrial 200</t>
        </is>
      </c>
      <c r="G921" s="13" t="n">
        <v>600.62</v>
      </c>
      <c r="H921" s="13" t="inlineStr"/>
      <c r="I921" s="13" t="inlineStr"/>
      <c r="K921" s="13" t="inlineStr"/>
      <c r="L921" s="13" t="n">
        <v>550000</v>
      </c>
      <c r="M921" s="13" t="inlineStr">
        <is>
          <t>Ref: 00000167 | Alphaville | https://massaruimoveis.com.br/imovel/00000167/</t>
        </is>
      </c>
      <c r="N921" s="13" t="inlineStr">
        <is>
          <t>Novo</t>
        </is>
      </c>
      <c r="O921" s="13" t="inlineStr"/>
    </row>
    <row r="922">
      <c r="A922" s="13" t="inlineStr">
        <is>
          <t>2026-06-28</t>
        </is>
      </c>
      <c r="B922" s="13" t="inlineStr">
        <is>
          <t>massaruimoveis.com.br</t>
        </is>
      </c>
      <c r="C922" s="13" t="inlineStr">
        <is>
          <t>Massaru Imóveis</t>
        </is>
      </c>
      <c r="D922" s="13" t="inlineStr"/>
      <c r="E922" s="13" t="inlineStr">
        <is>
          <t>Apartamento</t>
        </is>
      </c>
      <c r="F922" s="13" t="inlineStr">
        <is>
          <t>Rua Pioneira Santinha Ravagnani de Sá, 1, Jardim Novo Paulista</t>
        </is>
      </c>
      <c r="G922" s="13" t="n">
        <v>140</v>
      </c>
      <c r="H922" s="13" t="n">
        <v>1</v>
      </c>
      <c r="I922" s="13" t="n">
        <v>2</v>
      </c>
      <c r="K922" s="13" t="n">
        <v>3</v>
      </c>
      <c r="L922" s="13" t="n">
        <v>550000</v>
      </c>
      <c r="M922" s="13" t="inlineStr">
        <is>
          <t>Ref: 00000207 | https://massaruimoveis.com.br/imovel/00000207/</t>
        </is>
      </c>
      <c r="N922" s="13" t="inlineStr">
        <is>
          <t>Novo</t>
        </is>
      </c>
      <c r="O922" s="13" t="inlineStr"/>
    </row>
    <row r="923">
      <c r="A923" s="13" t="inlineStr">
        <is>
          <t>2026-06-28</t>
        </is>
      </c>
      <c r="B923" s="13" t="inlineStr">
        <is>
          <t>massaruimoveis.com.br</t>
        </is>
      </c>
      <c r="C923" s="13" t="inlineStr">
        <is>
          <t>Massaru Imóveis</t>
        </is>
      </c>
      <c r="D923" s="13" t="inlineStr"/>
      <c r="E923" s="13" t="inlineStr">
        <is>
          <t>Sala Comercial</t>
        </is>
      </c>
      <c r="F923" s="13" t="inlineStr">
        <is>
          <t>Avenida Tiradentes, 1008, Zona 01 - Centro</t>
        </is>
      </c>
      <c r="G923" s="13" t="n">
        <v>74</v>
      </c>
      <c r="H923" s="13" t="n"/>
      <c r="I923" s="13" t="n">
        <v>4</v>
      </c>
      <c r="K923" s="13" t="n">
        <v>2</v>
      </c>
      <c r="L923" s="13" t="n">
        <v>550000</v>
      </c>
      <c r="M923" s="13" t="inlineStr">
        <is>
          <t>Ref: 00000797 | Centro Comercial Paraná | https://massaruimoveis.com.br/imovel/00000797/</t>
        </is>
      </c>
      <c r="N923" s="13" t="inlineStr">
        <is>
          <t>Novo</t>
        </is>
      </c>
      <c r="O923" s="13" t="inlineStr"/>
    </row>
    <row r="924">
      <c r="A924" s="13" t="inlineStr">
        <is>
          <t>2026-06-28</t>
        </is>
      </c>
      <c r="B924" s="13" t="inlineStr">
        <is>
          <t>massaruimoveis.com.br</t>
        </is>
      </c>
      <c r="C924" s="13" t="inlineStr">
        <is>
          <t>Massaru Imóveis</t>
        </is>
      </c>
      <c r="D924" s="13" t="inlineStr"/>
      <c r="E924" s="13" t="inlineStr">
        <is>
          <t>Apartamento</t>
        </is>
      </c>
      <c r="F924" s="13" t="inlineStr">
        <is>
          <t>Rua Pioneira Santinha Ravagnani de Sá, 2, Jardim Novo Paulista</t>
        </is>
      </c>
      <c r="G924" s="13" t="n">
        <v>144</v>
      </c>
      <c r="H924" s="13" t="n">
        <v>1</v>
      </c>
      <c r="I924" s="13" t="n">
        <v>1</v>
      </c>
      <c r="K924" s="13" t="n">
        <v>2</v>
      </c>
      <c r="L924" s="13" t="n">
        <v>550000</v>
      </c>
      <c r="M924" s="13" t="inlineStr">
        <is>
          <t>Ref: 00001147 | https://massaruimoveis.com.br/imovel/00001147/</t>
        </is>
      </c>
      <c r="N924" s="13" t="inlineStr">
        <is>
          <t>Novo</t>
        </is>
      </c>
      <c r="O924" s="13" t="inlineStr"/>
    </row>
    <row r="925">
      <c r="A925" s="13" t="inlineStr">
        <is>
          <t>2026-06-28</t>
        </is>
      </c>
      <c r="B925" s="13" t="inlineStr">
        <is>
          <t>massaruimoveis.com.br</t>
        </is>
      </c>
      <c r="C925" s="13" t="inlineStr">
        <is>
          <t>Massaru Imóveis</t>
        </is>
      </c>
      <c r="D925" s="13" t="inlineStr"/>
      <c r="E925" s="13" t="inlineStr">
        <is>
          <t>Apartamento</t>
        </is>
      </c>
      <c r="F925" s="13" t="inlineStr">
        <is>
          <t>Rua Tabaetê, 923, Jardim Tabaetê</t>
        </is>
      </c>
      <c r="G925" s="13" t="n">
        <v>186.6</v>
      </c>
      <c r="H925" s="13" t="n">
        <v>3</v>
      </c>
      <c r="I925" s="13" t="n">
        <v>2</v>
      </c>
      <c r="K925" s="13" t="n">
        <v>3</v>
      </c>
      <c r="L925" s="13" t="n">
        <v>550000</v>
      </c>
      <c r="M925" s="13" t="inlineStr">
        <is>
          <t>Ref: 00001149 | https://massaruimoveis.com.br/imovel/00001149/</t>
        </is>
      </c>
      <c r="N925" s="13" t="inlineStr">
        <is>
          <t>Novo</t>
        </is>
      </c>
      <c r="O925" s="13" t="inlineStr"/>
    </row>
    <row r="926">
      <c r="A926" s="13" t="inlineStr">
        <is>
          <t>2026-06-28</t>
        </is>
      </c>
      <c r="B926" s="13" t="inlineStr">
        <is>
          <t>massaruimoveis.com.br</t>
        </is>
      </c>
      <c r="C926" s="13" t="inlineStr">
        <is>
          <t>Massaru Imóveis</t>
        </is>
      </c>
      <c r="D926" s="13" t="inlineStr"/>
      <c r="E926" s="13" t="inlineStr">
        <is>
          <t>Apartamento</t>
        </is>
      </c>
      <c r="F926" s="13" t="inlineStr">
        <is>
          <t>Rua Professora Maria de Lourdes Antunes, Jardim Oriental</t>
        </is>
      </c>
      <c r="G926" s="13" t="n">
        <v>136</v>
      </c>
      <c r="H926" s="13" t="n">
        <v>1</v>
      </c>
      <c r="I926" s="13" t="n">
        <v>2</v>
      </c>
      <c r="K926" s="13" t="n">
        <v>2</v>
      </c>
      <c r="L926" s="13" t="n">
        <v>590000</v>
      </c>
      <c r="M926" s="13" t="inlineStr">
        <is>
          <t>Ref: 00000021 | https://massaruimoveis.com.br/imovel/00000021/</t>
        </is>
      </c>
      <c r="N926" s="13" t="inlineStr">
        <is>
          <t>Novo</t>
        </is>
      </c>
      <c r="O926" s="13" t="inlineStr"/>
    </row>
    <row r="927">
      <c r="A927" s="13" t="inlineStr">
        <is>
          <t>2026-06-28</t>
        </is>
      </c>
      <c r="B927" s="13" t="inlineStr">
        <is>
          <t>massaruimoveis.com.br</t>
        </is>
      </c>
      <c r="C927" s="13" t="inlineStr">
        <is>
          <t>Massaru Imóveis</t>
        </is>
      </c>
      <c r="D927" s="13" t="inlineStr"/>
      <c r="E927" s="13" t="inlineStr">
        <is>
          <t>Apartamento</t>
        </is>
      </c>
      <c r="F927" s="13" t="inlineStr">
        <is>
          <t>Rua Yodomu Yugeta, 330, Jardim Oriental</t>
        </is>
      </c>
      <c r="G927" s="13" t="n">
        <v>127</v>
      </c>
      <c r="H927" s="13" t="n">
        <v>1</v>
      </c>
      <c r="I927" s="13" t="n">
        <v>3</v>
      </c>
      <c r="K927" s="13" t="n">
        <v>2</v>
      </c>
      <c r="L927" s="13" t="n">
        <v>619000</v>
      </c>
      <c r="M927" s="13" t="inlineStr">
        <is>
          <t>Ref: 00000560 | https://massaruimoveis.com.br/imovel/00000560/</t>
        </is>
      </c>
      <c r="N927" s="13" t="inlineStr">
        <is>
          <t>Novo</t>
        </is>
      </c>
      <c r="O927" s="13" t="inlineStr"/>
    </row>
    <row r="928">
      <c r="A928" s="13" t="inlineStr">
        <is>
          <t>2026-06-28</t>
        </is>
      </c>
      <c r="B928" s="13" t="inlineStr">
        <is>
          <t>massaruimoveis.com.br</t>
        </is>
      </c>
      <c r="C928" s="13" t="inlineStr">
        <is>
          <t>Massaru Imóveis</t>
        </is>
      </c>
      <c r="D928" s="13" t="inlineStr"/>
      <c r="E928" s="13" t="inlineStr">
        <is>
          <t>Apartamento</t>
        </is>
      </c>
      <c r="F928" s="13" t="inlineStr">
        <is>
          <t>Rua Pioneiro Guido Antônio Germani, 419B, Jardim Dias I</t>
        </is>
      </c>
      <c r="G928" s="13" t="n">
        <v>108</v>
      </c>
      <c r="H928" s="13" t="n">
        <v>2</v>
      </c>
      <c r="I928" s="13" t="n">
        <v>3</v>
      </c>
      <c r="K928" s="13" t="n">
        <v>3</v>
      </c>
      <c r="L928" s="13" t="n">
        <v>620000</v>
      </c>
      <c r="M928" s="13" t="inlineStr">
        <is>
          <t>Ref: 00000880 | https://massaruimoveis.com.br/imovel/00000880/</t>
        </is>
      </c>
      <c r="N928" s="13" t="inlineStr">
        <is>
          <t>Novo</t>
        </is>
      </c>
      <c r="O928" s="13" t="inlineStr"/>
    </row>
    <row r="929">
      <c r="A929" s="13" t="inlineStr">
        <is>
          <t>2026-06-28</t>
        </is>
      </c>
      <c r="B929" s="13" t="inlineStr">
        <is>
          <t>massaruimoveis.com.br</t>
        </is>
      </c>
      <c r="C929" s="13" t="inlineStr">
        <is>
          <t>Massaru Imóveis</t>
        </is>
      </c>
      <c r="D929" s="13" t="inlineStr"/>
      <c r="E929" s="13" t="inlineStr">
        <is>
          <t>Apartamento</t>
        </is>
      </c>
      <c r="F929" s="13" t="inlineStr">
        <is>
          <t>Rua Londrina, 420, Jardim Aclimação</t>
        </is>
      </c>
      <c r="G929" s="13" t="n">
        <v>100.71</v>
      </c>
      <c r="H929" s="13" t="n">
        <v>2</v>
      </c>
      <c r="I929" s="13" t="n">
        <v>1</v>
      </c>
      <c r="K929" s="13" t="n">
        <v>4</v>
      </c>
      <c r="L929" s="13" t="n">
        <v>630000</v>
      </c>
      <c r="M929" s="13" t="inlineStr">
        <is>
          <t>Ref: 00001175 | https://massaruimoveis.com.br/imovel/00001175/</t>
        </is>
      </c>
      <c r="N929" s="13" t="inlineStr">
        <is>
          <t>Novo</t>
        </is>
      </c>
      <c r="O929" s="13" t="inlineStr"/>
    </row>
    <row r="930">
      <c r="A930" s="13" t="inlineStr">
        <is>
          <t>2026-06-28</t>
        </is>
      </c>
      <c r="B930" s="13" t="inlineStr">
        <is>
          <t>massaruimoveis.com.br</t>
        </is>
      </c>
      <c r="C930" s="13" t="inlineStr">
        <is>
          <t>Massaru Imóveis</t>
        </is>
      </c>
      <c r="D930" s="13" t="inlineStr"/>
      <c r="E930" s="13" t="inlineStr">
        <is>
          <t>Apartamento</t>
        </is>
      </c>
      <c r="F930" s="13" t="inlineStr">
        <is>
          <t>Rua Sindicalista Antônio Luiz de Jesus, Jardim Dias II</t>
        </is>
      </c>
      <c r="G930" s="13" t="n">
        <v>121.78</v>
      </c>
      <c r="H930" s="13" t="n">
        <v>1</v>
      </c>
      <c r="I930" s="13" t="n">
        <v>1</v>
      </c>
      <c r="K930" s="13" t="n">
        <v>2</v>
      </c>
      <c r="L930" s="13" t="n">
        <v>640000</v>
      </c>
      <c r="M930" s="13" t="inlineStr">
        <is>
          <t>Ref: 00000295 | https://massaruimoveis.com.br/imovel/00000295/</t>
        </is>
      </c>
      <c r="N930" s="13" t="inlineStr">
        <is>
          <t>Novo</t>
        </is>
      </c>
      <c r="O930" s="13" t="inlineStr"/>
    </row>
    <row r="931">
      <c r="A931" s="13" t="inlineStr">
        <is>
          <t>2026-06-28</t>
        </is>
      </c>
      <c r="B931" s="13" t="inlineStr">
        <is>
          <t>massaruimoveis.com.br</t>
        </is>
      </c>
      <c r="C931" s="13" t="inlineStr">
        <is>
          <t>Massaru Imóveis</t>
        </is>
      </c>
      <c r="D931" s="13" t="inlineStr"/>
      <c r="E931" s="13" t="inlineStr">
        <is>
          <t>Apartamento</t>
        </is>
      </c>
      <c r="F931" s="13" t="inlineStr">
        <is>
          <t>Estrada Romeira, Gleba Ribeirão Centenário</t>
        </is>
      </c>
      <c r="G931" s="13" t="n">
        <v>554.61</v>
      </c>
      <c r="H931" s="13" t="inlineStr"/>
      <c r="I931" s="13" t="inlineStr"/>
      <c r="K931" s="13" t="inlineStr"/>
      <c r="L931" s="13" t="n">
        <v>640000</v>
      </c>
      <c r="M931" s="13" t="inlineStr">
        <is>
          <t>Ref: 00000971 | Jardins de Monet Thermas Residence | https://massaruimoveis.com.br/imovel/00000971/</t>
        </is>
      </c>
      <c r="N931" s="13" t="inlineStr">
        <is>
          <t>Novo</t>
        </is>
      </c>
      <c r="O931" s="13" t="inlineStr"/>
    </row>
    <row r="932">
      <c r="A932" s="13" t="inlineStr">
        <is>
          <t>2026-06-28</t>
        </is>
      </c>
      <c r="B932" s="13" t="inlineStr">
        <is>
          <t>massaruimoveis.com.br</t>
        </is>
      </c>
      <c r="C932" s="13" t="inlineStr">
        <is>
          <t>Massaru Imóveis</t>
        </is>
      </c>
      <c r="D932" s="13" t="inlineStr"/>
      <c r="E932" s="13" t="inlineStr">
        <is>
          <t>Apartamento</t>
        </is>
      </c>
      <c r="F932" s="13" t="inlineStr">
        <is>
          <t>Rua Palmital, 423, Jardim Imperial</t>
        </is>
      </c>
      <c r="G932" s="13" t="n">
        <v>167</v>
      </c>
      <c r="H932" s="13" t="n">
        <v>1</v>
      </c>
      <c r="I932" s="13" t="n">
        <v>3</v>
      </c>
      <c r="K932" s="13" t="n">
        <v>2</v>
      </c>
      <c r="L932" s="13" t="n">
        <v>640000</v>
      </c>
      <c r="M932" s="13" t="inlineStr">
        <is>
          <t>Ref: 00000978 | https://massaruimoveis.com.br/imovel/00000978/</t>
        </is>
      </c>
      <c r="N932" s="13" t="inlineStr">
        <is>
          <t>Novo</t>
        </is>
      </c>
      <c r="O932" s="13" t="inlineStr"/>
    </row>
    <row r="933">
      <c r="A933" s="13" t="inlineStr">
        <is>
          <t>2026-06-28</t>
        </is>
      </c>
      <c r="B933" s="13" t="inlineStr">
        <is>
          <t>massaruimoveis.com.br</t>
        </is>
      </c>
      <c r="C933" s="13" t="inlineStr">
        <is>
          <t>Massaru Imóveis</t>
        </is>
      </c>
      <c r="D933" s="13" t="inlineStr"/>
      <c r="E933" s="13" t="inlineStr">
        <is>
          <t>Apartamento</t>
        </is>
      </c>
      <c r="F933" s="13" t="inlineStr">
        <is>
          <t>Rua Fernando César Menezes Nagib Neme, 1, Jardim Tóquio</t>
        </is>
      </c>
      <c r="G933" s="13" t="n">
        <v>183.35</v>
      </c>
      <c r="H933" s="13" t="n">
        <v>2</v>
      </c>
      <c r="I933" s="13" t="n">
        <v>1</v>
      </c>
      <c r="K933" s="13" t="n">
        <v>2</v>
      </c>
      <c r="L933" s="13" t="n">
        <v>650000</v>
      </c>
      <c r="M933" s="13" t="inlineStr">
        <is>
          <t>Ref: 00000005 | https://massaruimoveis.com.br/imovel/00000005/</t>
        </is>
      </c>
      <c r="N933" s="13" t="inlineStr">
        <is>
          <t>Novo</t>
        </is>
      </c>
      <c r="O933" s="13" t="inlineStr"/>
    </row>
    <row r="934">
      <c r="A934" s="13" t="inlineStr">
        <is>
          <t>2026-06-28</t>
        </is>
      </c>
      <c r="B934" s="13" t="inlineStr">
        <is>
          <t>massaruimoveis.com.br</t>
        </is>
      </c>
      <c r="C934" s="13" t="inlineStr">
        <is>
          <t>Massaru Imóveis</t>
        </is>
      </c>
      <c r="D934" s="13" t="inlineStr"/>
      <c r="E934" s="13" t="inlineStr">
        <is>
          <t>Apartamento</t>
        </is>
      </c>
      <c r="F934" s="13" t="inlineStr">
        <is>
          <t>Rua João Florentino, 568, Jardim Espanha</t>
        </is>
      </c>
      <c r="G934" s="13" t="n">
        <v>140</v>
      </c>
      <c r="H934" s="13" t="n">
        <v>1</v>
      </c>
      <c r="I934" s="13" t="n">
        <v>1</v>
      </c>
      <c r="K934" s="13" t="n">
        <v>2</v>
      </c>
      <c r="L934" s="13" t="n">
        <v>650000</v>
      </c>
      <c r="M934" s="13" t="inlineStr">
        <is>
          <t>Ref: 00000271 | https://massaruimoveis.com.br/imovel/00000271/</t>
        </is>
      </c>
      <c r="N934" s="13" t="inlineStr">
        <is>
          <t>Novo</t>
        </is>
      </c>
      <c r="O934" s="13" t="inlineStr"/>
    </row>
    <row r="935">
      <c r="A935" s="13" t="inlineStr">
        <is>
          <t>2026-06-28</t>
        </is>
      </c>
      <c r="B935" s="13" t="inlineStr">
        <is>
          <t>massaruimoveis.com.br</t>
        </is>
      </c>
      <c r="C935" s="13" t="inlineStr">
        <is>
          <t>Massaru Imóveis</t>
        </is>
      </c>
      <c r="D935" s="13" t="inlineStr"/>
      <c r="E935" s="13" t="inlineStr">
        <is>
          <t>Apartamento</t>
        </is>
      </c>
      <c r="F935" s="13" t="inlineStr">
        <is>
          <t>Estrada Romeira, P 23, Gleba Ribeirão Centenário</t>
        </is>
      </c>
      <c r="G935" s="13" t="n">
        <v>541.38</v>
      </c>
      <c r="H935" s="13" t="inlineStr"/>
      <c r="I935" s="13" t="inlineStr"/>
      <c r="K935" s="13" t="inlineStr"/>
      <c r="L935" s="13" t="n">
        <v>650000</v>
      </c>
      <c r="M935" s="13" t="inlineStr">
        <is>
          <t>Ref: 00000535 | Jardins de Monet Thermas Residence | https://massaruimoveis.com.br/imovel/00000535/</t>
        </is>
      </c>
      <c r="N935" s="13" t="inlineStr">
        <is>
          <t>Novo</t>
        </is>
      </c>
      <c r="O935" s="13" t="inlineStr"/>
    </row>
    <row r="936">
      <c r="A936" s="13" t="inlineStr">
        <is>
          <t>2026-06-28</t>
        </is>
      </c>
      <c r="B936" s="13" t="inlineStr">
        <is>
          <t>massaruimoveis.com.br</t>
        </is>
      </c>
      <c r="C936" s="13" t="inlineStr">
        <is>
          <t>Massaru Imóveis</t>
        </is>
      </c>
      <c r="D936" s="13" t="inlineStr"/>
      <c r="E936" s="13" t="inlineStr">
        <is>
          <t>Apartamento</t>
        </is>
      </c>
      <c r="F936" s="13" t="inlineStr">
        <is>
          <t>Rua Francisco Jorge Ribeiro, 323, Casa B, Jardim Oriental</t>
        </is>
      </c>
      <c r="G936" s="13" t="n">
        <v>139</v>
      </c>
      <c r="H936" s="13" t="n">
        <v>3</v>
      </c>
      <c r="I936" s="13" t="n">
        <v>4</v>
      </c>
      <c r="K936" s="13" t="n">
        <v>2</v>
      </c>
      <c r="L936" s="13" t="n">
        <v>650000</v>
      </c>
      <c r="M936" s="13" t="inlineStr">
        <is>
          <t>Ref: 00000775 | https://massaruimoveis.com.br/imovel/00000775/</t>
        </is>
      </c>
      <c r="N936" s="13" t="inlineStr">
        <is>
          <t>Novo</t>
        </is>
      </c>
      <c r="O936" s="13" t="inlineStr"/>
    </row>
    <row r="937">
      <c r="A937" s="13" t="inlineStr">
        <is>
          <t>2026-06-28</t>
        </is>
      </c>
      <c r="B937" s="13" t="inlineStr">
        <is>
          <t>massaruimoveis.com.br</t>
        </is>
      </c>
      <c r="C937" s="13" t="inlineStr">
        <is>
          <t>Massaru Imóveis</t>
        </is>
      </c>
      <c r="D937" s="13" t="inlineStr"/>
      <c r="E937" s="13" t="inlineStr">
        <is>
          <t>Apartamento</t>
        </is>
      </c>
      <c r="F937" s="13" t="inlineStr">
        <is>
          <t>Rua Piauí, 389, Jardim Alvorada</t>
        </is>
      </c>
      <c r="G937" s="13" t="n">
        <v>100</v>
      </c>
      <c r="H937" s="13" t="n">
        <v>1</v>
      </c>
      <c r="I937" s="13" t="n">
        <v>2</v>
      </c>
      <c r="K937" s="13" t="n">
        <v>2</v>
      </c>
      <c r="L937" s="13" t="n">
        <v>650000</v>
      </c>
      <c r="M937" s="13" t="inlineStr">
        <is>
          <t>Ref: 00000970 | https://massaruimoveis.com.br/imovel/00000970/</t>
        </is>
      </c>
      <c r="N937" s="13" t="inlineStr">
        <is>
          <t>Novo</t>
        </is>
      </c>
      <c r="O937" s="13" t="inlineStr"/>
    </row>
    <row r="938">
      <c r="A938" s="13" t="inlineStr">
        <is>
          <t>2026-06-28</t>
        </is>
      </c>
      <c r="B938" s="13" t="inlineStr">
        <is>
          <t>massaruimoveis.com.br</t>
        </is>
      </c>
      <c r="C938" s="13" t="inlineStr">
        <is>
          <t>Massaru Imóveis</t>
        </is>
      </c>
      <c r="D938" s="13" t="inlineStr"/>
      <c r="E938" s="13" t="inlineStr">
        <is>
          <t>Apartamento</t>
        </is>
      </c>
      <c r="F938" s="13" t="inlineStr">
        <is>
          <t>Rua Cariovaldo Ferreira, 1071, Zona 08</t>
        </is>
      </c>
      <c r="G938" s="13" t="n">
        <v>173.41</v>
      </c>
      <c r="H938" s="13" t="n">
        <v>2</v>
      </c>
      <c r="I938" s="13" t="n">
        <v>4</v>
      </c>
      <c r="K938" s="13" t="n">
        <v>1</v>
      </c>
      <c r="L938" s="13" t="n">
        <v>650000</v>
      </c>
      <c r="M938" s="13" t="inlineStr">
        <is>
          <t>Ref: 00001067 | https://massaruimoveis.com.br/imovel/00001067/</t>
        </is>
      </c>
      <c r="N938" s="13" t="inlineStr">
        <is>
          <t>Novo</t>
        </is>
      </c>
      <c r="O938" s="13" t="inlineStr"/>
    </row>
    <row r="939">
      <c r="A939" s="13" t="inlineStr">
        <is>
          <t>2026-06-28</t>
        </is>
      </c>
      <c r="B939" s="13" t="inlineStr">
        <is>
          <t>massaruimoveis.com.br</t>
        </is>
      </c>
      <c r="C939" s="13" t="inlineStr">
        <is>
          <t>Massaru Imóveis</t>
        </is>
      </c>
      <c r="D939" s="13" t="inlineStr"/>
      <c r="E939" s="13" t="inlineStr">
        <is>
          <t>Apartamento</t>
        </is>
      </c>
      <c r="F939" s="13" t="inlineStr">
        <is>
          <t>Rua São Pedro, 383, Zona 07</t>
        </is>
      </c>
      <c r="G939" s="13" t="n">
        <v>500</v>
      </c>
      <c r="H939" s="13" t="inlineStr"/>
      <c r="I939" s="13" t="inlineStr"/>
      <c r="K939" s="13" t="inlineStr"/>
      <c r="L939" s="13" t="n">
        <v>650000</v>
      </c>
      <c r="M939" s="13" t="inlineStr">
        <is>
          <t>Ref: 00001179 | https://massaruimoveis.com.br/imovel/00001179/</t>
        </is>
      </c>
      <c r="N939" s="13" t="inlineStr">
        <is>
          <t>Novo</t>
        </is>
      </c>
      <c r="O939" s="13" t="inlineStr"/>
    </row>
    <row r="940">
      <c r="A940" s="13" t="inlineStr">
        <is>
          <t>2026-06-28</t>
        </is>
      </c>
      <c r="B940" s="13" t="inlineStr">
        <is>
          <t>massaruimoveis.com.br</t>
        </is>
      </c>
      <c r="C940" s="13" t="inlineStr">
        <is>
          <t>Massaru Imóveis</t>
        </is>
      </c>
      <c r="D940" s="13" t="inlineStr"/>
      <c r="E940" s="13" t="inlineStr">
        <is>
          <t>Apartamento</t>
        </is>
      </c>
      <c r="F940" s="13" t="inlineStr">
        <is>
          <t>Rodovia Osvaldo Pacheco de Lacerda, 1010, Parque Industrial</t>
        </is>
      </c>
      <c r="G940" s="13" t="n">
        <v>922</v>
      </c>
      <c r="H940" s="13" t="inlineStr"/>
      <c r="I940" s="13" t="inlineStr"/>
      <c r="K940" s="13" t="inlineStr"/>
      <c r="L940" s="13" t="n">
        <v>656000</v>
      </c>
      <c r="M940" s="13" t="inlineStr">
        <is>
          <t>Ref: 00000929 | https://massaruimoveis.com.br/imovel/00000929/</t>
        </is>
      </c>
      <c r="N940" s="13" t="inlineStr">
        <is>
          <t>Novo</t>
        </is>
      </c>
      <c r="O940" s="13" t="inlineStr"/>
    </row>
    <row r="941">
      <c r="A941" s="13" t="inlineStr">
        <is>
          <t>2026-06-28</t>
        </is>
      </c>
      <c r="B941" s="13" t="inlineStr">
        <is>
          <t>massaruimoveis.com.br</t>
        </is>
      </c>
      <c r="C941" s="13" t="inlineStr">
        <is>
          <t>Massaru Imóveis</t>
        </is>
      </c>
      <c r="D941" s="13" t="inlineStr"/>
      <c r="E941" s="13" t="inlineStr">
        <is>
          <t>Apartamento</t>
        </is>
      </c>
      <c r="F941" s="13" t="inlineStr">
        <is>
          <t>Avenida Américo Belay, 3009, Jardim Dias I</t>
        </is>
      </c>
      <c r="G941" s="13" t="n">
        <v>463.12</v>
      </c>
      <c r="H941" s="13" t="inlineStr"/>
      <c r="I941" s="13" t="inlineStr"/>
      <c r="K941" s="13" t="inlineStr"/>
      <c r="L941" s="13" t="n">
        <v>670000</v>
      </c>
      <c r="M941" s="13" t="inlineStr">
        <is>
          <t>Ref: 00001091 | https://massaruimoveis.com.br/imovel/00001091/</t>
        </is>
      </c>
      <c r="N941" s="13" t="inlineStr">
        <is>
          <t>Novo</t>
        </is>
      </c>
      <c r="O941" s="13" t="inlineStr"/>
    </row>
    <row r="942">
      <c r="A942" s="13" t="inlineStr">
        <is>
          <t>2026-06-28</t>
        </is>
      </c>
      <c r="B942" s="13" t="inlineStr">
        <is>
          <t>massaruimoveis.com.br</t>
        </is>
      </c>
      <c r="C942" s="13" t="inlineStr">
        <is>
          <t>Massaru Imóveis</t>
        </is>
      </c>
      <c r="D942" s="13" t="inlineStr"/>
      <c r="E942" s="13" t="inlineStr">
        <is>
          <t>Apartamento</t>
        </is>
      </c>
      <c r="F942" s="13" t="inlineStr">
        <is>
          <t>Rua Romildo Schiavão, 58, Loteamento Sumaré</t>
        </is>
      </c>
      <c r="G942" s="13" t="n">
        <v>174.38</v>
      </c>
      <c r="H942" s="13" t="n">
        <v>2</v>
      </c>
      <c r="I942" s="13" t="n">
        <v>2</v>
      </c>
      <c r="K942" s="13" t="n">
        <v>2</v>
      </c>
      <c r="L942" s="13" t="n">
        <v>670000</v>
      </c>
      <c r="M942" s="13" t="inlineStr">
        <is>
          <t>Ref: 00001112 | https://massaruimoveis.com.br/imovel/00001112/</t>
        </is>
      </c>
      <c r="N942" s="13" t="inlineStr">
        <is>
          <t>Novo</t>
        </is>
      </c>
      <c r="O942" s="13" t="inlineStr"/>
    </row>
    <row r="943">
      <c r="A943" s="13" t="inlineStr">
        <is>
          <t>2026-06-28</t>
        </is>
      </c>
      <c r="B943" s="13" t="inlineStr">
        <is>
          <t>massaruimoveis.com.br</t>
        </is>
      </c>
      <c r="C943" s="13" t="inlineStr">
        <is>
          <t>Massaru Imóveis</t>
        </is>
      </c>
      <c r="D943" s="13" t="inlineStr"/>
      <c r="E943" s="13" t="inlineStr">
        <is>
          <t>Apartamento</t>
        </is>
      </c>
      <c r="F943" s="13" t="inlineStr">
        <is>
          <t>Avenida Morangueira, 1952, Jardim Alvorada</t>
        </is>
      </c>
      <c r="G943" s="13" t="n">
        <v>280</v>
      </c>
      <c r="H943" s="13" t="inlineStr"/>
      <c r="I943" s="13" t="inlineStr"/>
      <c r="K943" s="13" t="inlineStr"/>
      <c r="L943" s="13" t="n">
        <v>680000</v>
      </c>
      <c r="M943" s="13" t="inlineStr">
        <is>
          <t>Ref: 00000342 | https://massaruimoveis.com.br/imovel/00000342/</t>
        </is>
      </c>
      <c r="N943" s="13" t="inlineStr">
        <is>
          <t>Novo</t>
        </is>
      </c>
      <c r="O943" s="13" t="inlineStr"/>
    </row>
    <row r="944">
      <c r="A944" s="13" t="inlineStr">
        <is>
          <t>2026-06-28</t>
        </is>
      </c>
      <c r="B944" s="13" t="inlineStr">
        <is>
          <t>massaruimoveis.com.br</t>
        </is>
      </c>
      <c r="C944" s="13" t="inlineStr">
        <is>
          <t>Massaru Imóveis</t>
        </is>
      </c>
      <c r="D944" s="13" t="inlineStr"/>
      <c r="E944" s="13" t="inlineStr">
        <is>
          <t>Apartamento</t>
        </is>
      </c>
      <c r="F944" s="13" t="inlineStr">
        <is>
          <t>Rua Pioneiro Marcos Takashi Kawamoto, 12, Cidade Jardim</t>
        </is>
      </c>
      <c r="G944" s="13" t="n">
        <v>200</v>
      </c>
      <c r="H944" s="13" t="n">
        <v>4</v>
      </c>
      <c r="I944" s="13" t="n">
        <v>4</v>
      </c>
      <c r="K944" s="13" t="n">
        <v>5</v>
      </c>
      <c r="L944" s="13" t="n">
        <v>680000</v>
      </c>
      <c r="M944" s="13" t="inlineStr">
        <is>
          <t>Ref: 00000454 | https://massaruimoveis.com.br/imovel/00000454/</t>
        </is>
      </c>
      <c r="N944" s="13" t="inlineStr">
        <is>
          <t>Novo</t>
        </is>
      </c>
      <c r="O944" s="13" t="inlineStr"/>
    </row>
    <row r="945">
      <c r="A945" s="13" t="inlineStr">
        <is>
          <t>2026-06-28</t>
        </is>
      </c>
      <c r="B945" s="13" t="inlineStr">
        <is>
          <t>massaruimoveis.com.br</t>
        </is>
      </c>
      <c r="C945" s="13" t="inlineStr">
        <is>
          <t>Massaru Imóveis</t>
        </is>
      </c>
      <c r="D945" s="13" t="inlineStr"/>
      <c r="E945" s="13" t="inlineStr">
        <is>
          <t>Apartamento</t>
        </is>
      </c>
      <c r="F945" s="13" t="inlineStr">
        <is>
          <t>Rua Montevidéo, 272, Vila Morangueira</t>
        </is>
      </c>
      <c r="G945" s="13" t="n">
        <v>313.7</v>
      </c>
      <c r="H945" s="13" t="n">
        <v>4</v>
      </c>
      <c r="I945" s="13" t="n">
        <v>4</v>
      </c>
      <c r="K945" s="13" t="n">
        <v>5</v>
      </c>
      <c r="L945" s="13" t="n">
        <v>690000</v>
      </c>
      <c r="M945" s="13" t="inlineStr">
        <is>
          <t>Ref: 00000633 | https://massaruimoveis.com.br/imovel/00000633/</t>
        </is>
      </c>
      <c r="N945" s="13" t="inlineStr">
        <is>
          <t>Novo</t>
        </is>
      </c>
      <c r="O945" s="13" t="inlineStr"/>
    </row>
    <row r="946">
      <c r="A946" s="13" t="inlineStr">
        <is>
          <t>2026-06-28</t>
        </is>
      </c>
      <c r="B946" s="13" t="inlineStr">
        <is>
          <t>massaruimoveis.com.br</t>
        </is>
      </c>
      <c r="C946" s="13" t="inlineStr">
        <is>
          <t>Massaru Imóveis</t>
        </is>
      </c>
      <c r="D946" s="13" t="inlineStr"/>
      <c r="E946" s="13" t="inlineStr">
        <is>
          <t>Apartamento</t>
        </is>
      </c>
      <c r="F946" s="13" t="inlineStr">
        <is>
          <t>Rua Martin Afonso, 1210, Jardim Novo Horizonte</t>
        </is>
      </c>
      <c r="G946" s="13" t="n">
        <v>54.88</v>
      </c>
      <c r="H946" s="13" t="n"/>
      <c r="I946" s="13" t="n">
        <v>1</v>
      </c>
      <c r="K946" s="13" t="n">
        <v>2</v>
      </c>
      <c r="L946" s="13" t="n">
        <v>690000</v>
      </c>
      <c r="M946" s="13" t="inlineStr">
        <is>
          <t>Ref: 00000798 | Dunas | https://massaruimoveis.com.br/imovel/00000798/</t>
        </is>
      </c>
      <c r="N946" s="13" t="inlineStr">
        <is>
          <t>Novo</t>
        </is>
      </c>
      <c r="O946" s="13" t="inlineStr"/>
    </row>
    <row r="947">
      <c r="A947" s="13" t="inlineStr">
        <is>
          <t>2026-06-28</t>
        </is>
      </c>
      <c r="B947" s="13" t="inlineStr">
        <is>
          <t>massaruimoveis.com.br</t>
        </is>
      </c>
      <c r="C947" s="13" t="inlineStr">
        <is>
          <t>Massaru Imóveis</t>
        </is>
      </c>
      <c r="D947" s="13" t="inlineStr"/>
      <c r="E947" s="13" t="inlineStr">
        <is>
          <t>Apartamento</t>
        </is>
      </c>
      <c r="F947" s="13" t="inlineStr">
        <is>
          <t>Rua Belvedere, 347, Vila Nova</t>
        </is>
      </c>
      <c r="G947" s="13" t="n">
        <v>311.03</v>
      </c>
      <c r="H947" s="13" t="n">
        <v>1</v>
      </c>
      <c r="I947" s="13" t="n">
        <v>4</v>
      </c>
      <c r="K947" s="13" t="n">
        <v>4</v>
      </c>
      <c r="L947" s="13" t="n">
        <v>698000</v>
      </c>
      <c r="M947" s="13" t="inlineStr">
        <is>
          <t>Ref: 00000452 | https://massaruimoveis.com.br/imovel/00000452/</t>
        </is>
      </c>
      <c r="N947" s="13" t="inlineStr">
        <is>
          <t>Novo</t>
        </is>
      </c>
      <c r="O947" s="13" t="inlineStr"/>
    </row>
    <row r="948">
      <c r="A948" s="13" t="inlineStr">
        <is>
          <t>2026-06-28</t>
        </is>
      </c>
      <c r="B948" s="13" t="inlineStr">
        <is>
          <t>massaruimoveis.com.br</t>
        </is>
      </c>
      <c r="C948" s="13" t="inlineStr">
        <is>
          <t>Massaru Imóveis</t>
        </is>
      </c>
      <c r="D948" s="13" t="inlineStr"/>
      <c r="E948" s="13" t="inlineStr">
        <is>
          <t>Apartamento</t>
        </is>
      </c>
      <c r="F948" s="13" t="inlineStr">
        <is>
          <t>Rua Quito, 1228, Vila Morangueira</t>
        </is>
      </c>
      <c r="G948" s="13" t="n">
        <v>280</v>
      </c>
      <c r="H948" s="13" t="n">
        <v>1</v>
      </c>
      <c r="I948" s="13" t="n">
        <v>2</v>
      </c>
      <c r="K948" s="13" t="n">
        <v>6</v>
      </c>
      <c r="L948" s="13" t="n">
        <v>700000</v>
      </c>
      <c r="M948" s="13" t="inlineStr">
        <is>
          <t>Ref: 00000101 | https://massaruimoveis.com.br/imovel/00000101/</t>
        </is>
      </c>
      <c r="N948" s="13" t="inlineStr">
        <is>
          <t>Novo</t>
        </is>
      </c>
      <c r="O948" s="13" t="inlineStr"/>
    </row>
    <row r="949">
      <c r="A949" s="13" t="inlineStr">
        <is>
          <t>2026-06-28</t>
        </is>
      </c>
      <c r="B949" s="13" t="inlineStr">
        <is>
          <t>massaruimoveis.com.br</t>
        </is>
      </c>
      <c r="C949" s="13" t="inlineStr">
        <is>
          <t>Massaru Imóveis</t>
        </is>
      </c>
      <c r="D949" s="13" t="inlineStr"/>
      <c r="E949" s="13" t="inlineStr">
        <is>
          <t>Apartamento</t>
        </is>
      </c>
      <c r="F949" s="13" t="inlineStr">
        <is>
          <t>Rua Santos Dumont, 1234, Zona 01 - Centro</t>
        </is>
      </c>
      <c r="G949" s="13" t="n">
        <v>98</v>
      </c>
      <c r="H949" s="13" t="n"/>
      <c r="I949" s="13" t="n">
        <v>1</v>
      </c>
      <c r="K949" s="13" t="n">
        <v>2</v>
      </c>
      <c r="L949" s="13" t="n">
        <v>700000</v>
      </c>
      <c r="M949" s="13" t="inlineStr">
        <is>
          <t>Ref: 00001046 | Residencial Jaguanum | https://massaruimoveis.com.br/imovel/00001046/</t>
        </is>
      </c>
      <c r="N949" s="13" t="inlineStr">
        <is>
          <t>Novo</t>
        </is>
      </c>
      <c r="O949" s="13" t="inlineStr"/>
    </row>
    <row r="950">
      <c r="A950" s="13" t="inlineStr">
        <is>
          <t>2026-06-28</t>
        </is>
      </c>
      <c r="B950" s="13" t="inlineStr">
        <is>
          <t>massaruimoveis.com.br</t>
        </is>
      </c>
      <c r="C950" s="13" t="inlineStr">
        <is>
          <t>Massaru Imóveis</t>
        </is>
      </c>
      <c r="D950" s="13" t="inlineStr"/>
      <c r="E950" s="13" t="inlineStr">
        <is>
          <t>Apartamento</t>
        </is>
      </c>
      <c r="F950" s="13" t="inlineStr">
        <is>
          <t>Rua Pioneiro Abílio Gaspar, 84, Parque Avenida</t>
        </is>
      </c>
      <c r="G950" s="13" t="n">
        <v>221.34</v>
      </c>
      <c r="H950" s="13" t="n">
        <v>1</v>
      </c>
      <c r="I950" s="13" t="n">
        <v>3</v>
      </c>
      <c r="K950" s="13" t="n">
        <v>1</v>
      </c>
      <c r="L950" s="13" t="n">
        <v>730000</v>
      </c>
      <c r="M950" s="13" t="inlineStr">
        <is>
          <t>Ref: 00000938 | https://massaruimoveis.com.br/imovel/00000938/</t>
        </is>
      </c>
      <c r="N950" s="13" t="inlineStr">
        <is>
          <t>Novo</t>
        </is>
      </c>
      <c r="O950" s="13" t="inlineStr"/>
    </row>
    <row r="951">
      <c r="A951" s="13" t="inlineStr">
        <is>
          <t>2026-06-28</t>
        </is>
      </c>
      <c r="B951" s="13" t="inlineStr">
        <is>
          <t>massaruimoveis.com.br</t>
        </is>
      </c>
      <c r="C951" s="13" t="inlineStr">
        <is>
          <t>Massaru Imóveis</t>
        </is>
      </c>
      <c r="D951" s="13" t="inlineStr"/>
      <c r="E951" s="13" t="inlineStr">
        <is>
          <t>Apartamento</t>
        </is>
      </c>
      <c r="F951" s="13" t="inlineStr">
        <is>
          <t>Rua Marechal Floriano Peixoto, 1444, Zona 07</t>
        </is>
      </c>
      <c r="G951" s="13" t="n">
        <v>121</v>
      </c>
      <c r="H951" s="13" t="n"/>
      <c r="I951" s="13" t="n">
        <v>1</v>
      </c>
      <c r="K951" s="13" t="n">
        <v>2</v>
      </c>
      <c r="L951" s="13" t="n">
        <v>730000</v>
      </c>
      <c r="M951" s="13" t="inlineStr">
        <is>
          <t>Ref: 00001133 | Plaza Astúrias | https://massaruimoveis.com.br/imovel/00001133/</t>
        </is>
      </c>
      <c r="N951" s="13" t="inlineStr">
        <is>
          <t>Novo</t>
        </is>
      </c>
      <c r="O951" s="13" t="inlineStr"/>
    </row>
    <row r="952">
      <c r="A952" s="13" t="inlineStr">
        <is>
          <t>2026-06-28</t>
        </is>
      </c>
      <c r="B952" s="13" t="inlineStr">
        <is>
          <t>massaruimoveis.com.br</t>
        </is>
      </c>
      <c r="C952" s="13" t="inlineStr">
        <is>
          <t>Massaru Imóveis</t>
        </is>
      </c>
      <c r="D952" s="13" t="inlineStr"/>
      <c r="E952" s="13" t="inlineStr">
        <is>
          <t>Apartamento</t>
        </is>
      </c>
      <c r="F952" s="13" t="inlineStr">
        <is>
          <t>Rua Ivonete Aparecida Ribeiro Matos, 248, Jardim Oriental</t>
        </is>
      </c>
      <c r="G952" s="13" t="n">
        <v>135</v>
      </c>
      <c r="H952" s="13" t="n">
        <v>1</v>
      </c>
      <c r="I952" s="13" t="n">
        <v>3</v>
      </c>
      <c r="K952" s="13" t="n">
        <v>2</v>
      </c>
      <c r="L952" s="13" t="n">
        <v>745000</v>
      </c>
      <c r="M952" s="13" t="inlineStr">
        <is>
          <t>Ref: 00001167 | https://massaruimoveis.com.br/imovel/00001167/</t>
        </is>
      </c>
      <c r="N952" s="13" t="inlineStr">
        <is>
          <t>Novo</t>
        </is>
      </c>
      <c r="O952" s="13" t="inlineStr"/>
    </row>
    <row r="953">
      <c r="A953" s="13" t="inlineStr">
        <is>
          <t>2026-06-28</t>
        </is>
      </c>
      <c r="B953" s="13" t="inlineStr">
        <is>
          <t>massaruimoveis.com.br</t>
        </is>
      </c>
      <c r="C953" s="13" t="inlineStr">
        <is>
          <t>Massaru Imóveis</t>
        </is>
      </c>
      <c r="D953" s="13" t="inlineStr"/>
      <c r="E953" s="13" t="inlineStr">
        <is>
          <t>Apartamento</t>
        </is>
      </c>
      <c r="F953" s="13" t="inlineStr">
        <is>
          <t>Rua Deodoro Alves de Carvalho, 359 A, Jardim Muníque</t>
        </is>
      </c>
      <c r="G953" s="13" t="n">
        <v>149</v>
      </c>
      <c r="H953" s="13" t="n">
        <v>2</v>
      </c>
      <c r="I953" s="13" t="n">
        <v>1</v>
      </c>
      <c r="K953" s="13" t="n">
        <v>2</v>
      </c>
      <c r="L953" s="13" t="n">
        <v>750000</v>
      </c>
      <c r="M953" s="13" t="inlineStr">
        <is>
          <t>Ref: 00000161 | https://massaruimoveis.com.br/imovel/00000161/</t>
        </is>
      </c>
      <c r="N953" s="13" t="inlineStr">
        <is>
          <t>Novo</t>
        </is>
      </c>
      <c r="O953" s="13" t="inlineStr"/>
    </row>
    <row r="954">
      <c r="A954" s="13" t="inlineStr">
        <is>
          <t>2026-06-28</t>
        </is>
      </c>
      <c r="B954" s="13" t="inlineStr">
        <is>
          <t>massaruimoveis.com.br</t>
        </is>
      </c>
      <c r="C954" s="13" t="inlineStr">
        <is>
          <t>Massaru Imóveis</t>
        </is>
      </c>
      <c r="D954" s="13" t="inlineStr"/>
      <c r="E954" s="13" t="inlineStr">
        <is>
          <t>Apartamento</t>
        </is>
      </c>
      <c r="F954" s="13" t="inlineStr">
        <is>
          <t>Rua Ametista, 1681, Jardim Real</t>
        </is>
      </c>
      <c r="G954" s="13" t="n">
        <v>187</v>
      </c>
      <c r="H954" s="13" t="n">
        <v>1</v>
      </c>
      <c r="I954" s="13" t="n">
        <v>3</v>
      </c>
      <c r="K954" s="13" t="n">
        <v>2</v>
      </c>
      <c r="L954" s="13" t="n">
        <v>760000</v>
      </c>
      <c r="M954" s="13" t="inlineStr">
        <is>
          <t>Ref: 00000069 | https://massaruimoveis.com.br/imovel/00000069/</t>
        </is>
      </c>
      <c r="N954" s="13" t="inlineStr">
        <is>
          <t>Novo</t>
        </is>
      </c>
      <c r="O954" s="13" t="inlineStr"/>
    </row>
    <row r="955">
      <c r="A955" s="13" t="inlineStr">
        <is>
          <t>2026-06-28</t>
        </is>
      </c>
      <c r="B955" s="13" t="inlineStr">
        <is>
          <t>massaruimoveis.com.br</t>
        </is>
      </c>
      <c r="C955" s="13" t="inlineStr">
        <is>
          <t>Massaru Imóveis</t>
        </is>
      </c>
      <c r="D955" s="13" t="inlineStr"/>
      <c r="E955" s="13" t="inlineStr">
        <is>
          <t>Apartamento</t>
        </is>
      </c>
      <c r="F955" s="13" t="inlineStr">
        <is>
          <t>Rua Pioneiro Jones Sales Pontes, 160, Jardim Muníque</t>
        </is>
      </c>
      <c r="G955" s="13" t="n">
        <v>127</v>
      </c>
      <c r="H955" s="13" t="n">
        <v>1</v>
      </c>
      <c r="I955" s="13" t="n">
        <v>1</v>
      </c>
      <c r="K955" s="13" t="n">
        <v>2</v>
      </c>
      <c r="L955" s="13" t="n">
        <v>760000</v>
      </c>
      <c r="M955" s="13" t="inlineStr">
        <is>
          <t>Ref: 00000382 | https://massaruimoveis.com.br/imovel/00000382/</t>
        </is>
      </c>
      <c r="N955" s="13" t="inlineStr">
        <is>
          <t>Novo</t>
        </is>
      </c>
      <c r="O955" s="13" t="inlineStr"/>
    </row>
    <row r="956">
      <c r="A956" s="13" t="inlineStr">
        <is>
          <t>2026-06-28</t>
        </is>
      </c>
      <c r="B956" s="13" t="inlineStr">
        <is>
          <t>massaruimoveis.com.br</t>
        </is>
      </c>
      <c r="C956" s="13" t="inlineStr">
        <is>
          <t>Massaru Imóveis</t>
        </is>
      </c>
      <c r="D956" s="13" t="inlineStr"/>
      <c r="E956" s="13" t="inlineStr">
        <is>
          <t>Apartamento</t>
        </is>
      </c>
      <c r="F956" s="13" t="inlineStr">
        <is>
          <t>Rua Hawai, 580, Vila Morangueira</t>
        </is>
      </c>
      <c r="G956" s="13" t="n">
        <v>223.14</v>
      </c>
      <c r="H956" s="13" t="n">
        <v>3</v>
      </c>
      <c r="I956" s="13" t="n">
        <v>2</v>
      </c>
      <c r="K956" s="13" t="n">
        <v>1</v>
      </c>
      <c r="L956" s="13" t="n">
        <v>800000</v>
      </c>
      <c r="M956" s="13" t="inlineStr">
        <is>
          <t>Ref: 00000334 | Das Acácias | https://massaruimoveis.com.br/imovel/00000334/</t>
        </is>
      </c>
      <c r="N956" s="13" t="inlineStr">
        <is>
          <t>Novo</t>
        </is>
      </c>
      <c r="O956" s="13" t="inlineStr"/>
    </row>
    <row r="957">
      <c r="A957" s="13" t="inlineStr">
        <is>
          <t>2026-06-28</t>
        </is>
      </c>
      <c r="B957" s="13" t="inlineStr">
        <is>
          <t>massaruimoveis.com.br</t>
        </is>
      </c>
      <c r="C957" s="13" t="inlineStr">
        <is>
          <t>Massaru Imóveis</t>
        </is>
      </c>
      <c r="D957" s="13" t="inlineStr"/>
      <c r="E957" s="13" t="inlineStr">
        <is>
          <t>Apartamento</t>
        </is>
      </c>
      <c r="F957" s="13" t="inlineStr">
        <is>
          <t>Rua Rio Tibiriçá, 160, Jardim Novo Oásis</t>
        </is>
      </c>
      <c r="G957" s="13" t="n">
        <v>129.51</v>
      </c>
      <c r="H957" s="13" t="n">
        <v>1</v>
      </c>
      <c r="I957" s="13" t="n">
        <v>3</v>
      </c>
      <c r="K957" s="13" t="n">
        <v>2</v>
      </c>
      <c r="L957" s="13" t="n">
        <v>800000</v>
      </c>
      <c r="M957" s="13" t="inlineStr">
        <is>
          <t>Ref: 00000803 | https://massaruimoveis.com.br/imovel/00000803/</t>
        </is>
      </c>
      <c r="N957" s="13" t="inlineStr">
        <is>
          <t>Novo</t>
        </is>
      </c>
      <c r="O957" s="13" t="inlineStr"/>
    </row>
    <row r="958">
      <c r="A958" s="13" t="inlineStr">
        <is>
          <t>2026-06-28</t>
        </is>
      </c>
      <c r="B958" s="13" t="inlineStr">
        <is>
          <t>massaruimoveis.com.br</t>
        </is>
      </c>
      <c r="C958" s="13" t="inlineStr">
        <is>
          <t>Massaru Imóveis</t>
        </is>
      </c>
      <c r="D958" s="13" t="inlineStr"/>
      <c r="E958" s="13" t="inlineStr">
        <is>
          <t>Apartamento</t>
        </is>
      </c>
      <c r="F958" s="13" t="inlineStr">
        <is>
          <t>Rua Francisco Glicério, 26, Zona 07</t>
        </is>
      </c>
      <c r="G958" s="13" t="n">
        <v>88.73</v>
      </c>
      <c r="H958" s="13" t="n">
        <v>1</v>
      </c>
      <c r="I958" s="13" t="n">
        <v>1</v>
      </c>
      <c r="K958" s="13" t="n">
        <v>2</v>
      </c>
      <c r="L958" s="13" t="n">
        <v>824900</v>
      </c>
      <c r="M958" s="13" t="inlineStr">
        <is>
          <t>Ref: 00000152 | Alto de Moz | https://massaruimoveis.com.br/imovel/00000152/</t>
        </is>
      </c>
      <c r="N958" s="13" t="inlineStr">
        <is>
          <t>Novo</t>
        </is>
      </c>
      <c r="O958" s="13" t="inlineStr"/>
    </row>
    <row r="959">
      <c r="A959" s="13" t="inlineStr">
        <is>
          <t>2026-06-28</t>
        </is>
      </c>
      <c r="B959" s="13" t="inlineStr">
        <is>
          <t>massaruimoveis.com.br</t>
        </is>
      </c>
      <c r="C959" s="13" t="inlineStr">
        <is>
          <t>Massaru Imóveis</t>
        </is>
      </c>
      <c r="D959" s="13" t="inlineStr"/>
      <c r="E959" s="13" t="inlineStr">
        <is>
          <t>Apartamento</t>
        </is>
      </c>
      <c r="F959" s="13" t="inlineStr">
        <is>
          <t>Rua Coelho Neto, 155, Zona 05</t>
        </is>
      </c>
      <c r="G959" s="13" t="n">
        <v>235.27</v>
      </c>
      <c r="H959" s="13" t="n">
        <v>3</v>
      </c>
      <c r="I959" s="13" t="n">
        <v>1</v>
      </c>
      <c r="K959" s="13" t="n">
        <v>4</v>
      </c>
      <c r="L959" s="13" t="n">
        <v>830000</v>
      </c>
      <c r="M959" s="13" t="inlineStr">
        <is>
          <t>Ref: 00000263 | https://massaruimoveis.com.br/imovel/00000263/</t>
        </is>
      </c>
      <c r="N959" s="13" t="inlineStr">
        <is>
          <t>Novo</t>
        </is>
      </c>
      <c r="O959" s="13" t="inlineStr"/>
    </row>
    <row r="960">
      <c r="A960" s="13" t="inlineStr">
        <is>
          <t>2026-06-28</t>
        </is>
      </c>
      <c r="B960" s="13" t="inlineStr">
        <is>
          <t>massaruimoveis.com.br</t>
        </is>
      </c>
      <c r="C960" s="13" t="inlineStr">
        <is>
          <t>Massaru Imóveis</t>
        </is>
      </c>
      <c r="D960" s="13" t="inlineStr"/>
      <c r="E960" s="13" t="inlineStr">
        <is>
          <t>Apartamento</t>
        </is>
      </c>
      <c r="F960" s="13" t="inlineStr">
        <is>
          <t>Rua Pioneiro Antônio Castanha, 188, Jardim Itália</t>
        </is>
      </c>
      <c r="G960" s="13" t="n">
        <v>380</v>
      </c>
      <c r="H960" s="13" t="inlineStr"/>
      <c r="I960" s="13" t="inlineStr"/>
      <c r="K960" s="13" t="inlineStr"/>
      <c r="L960" s="13" t="n">
        <v>850000</v>
      </c>
      <c r="M960" s="13" t="inlineStr">
        <is>
          <t>Ref: 00000259 | https://massaruimoveis.com.br/imovel/00000259/</t>
        </is>
      </c>
      <c r="N960" s="13" t="inlineStr">
        <is>
          <t>Novo</t>
        </is>
      </c>
      <c r="O960" s="13" t="inlineStr"/>
    </row>
    <row r="961">
      <c r="A961" s="13" t="inlineStr">
        <is>
          <t>2026-06-28</t>
        </is>
      </c>
      <c r="B961" s="13" t="inlineStr">
        <is>
          <t>massaruimoveis.com.br</t>
        </is>
      </c>
      <c r="C961" s="13" t="inlineStr">
        <is>
          <t>Massaru Imóveis</t>
        </is>
      </c>
      <c r="D961" s="13" t="inlineStr"/>
      <c r="E961" s="13" t="inlineStr">
        <is>
          <t>Apartamento</t>
        </is>
      </c>
      <c r="F961" s="13" t="inlineStr">
        <is>
          <t>Avenida São Domingos, 234, Vila Morangueira</t>
        </is>
      </c>
      <c r="G961" s="13" t="n">
        <v>481.37</v>
      </c>
      <c r="H961" s="13" t="n">
        <v>3</v>
      </c>
      <c r="I961" s="13" t="n">
        <v>2</v>
      </c>
      <c r="K961" s="13" t="n">
        <v>3</v>
      </c>
      <c r="L961" s="13" t="n">
        <v>850000</v>
      </c>
      <c r="M961" s="13" t="inlineStr">
        <is>
          <t>Ref: 00000855 | https://massaruimoveis.com.br/imovel/00000855/</t>
        </is>
      </c>
      <c r="N961" s="13" t="inlineStr">
        <is>
          <t>Novo</t>
        </is>
      </c>
      <c r="O961" s="13" t="inlineStr"/>
    </row>
    <row r="962">
      <c r="A962" s="13" t="inlineStr">
        <is>
          <t>2026-06-28</t>
        </is>
      </c>
      <c r="B962" s="13" t="inlineStr">
        <is>
          <t>massaruimoveis.com.br</t>
        </is>
      </c>
      <c r="C962" s="13" t="inlineStr">
        <is>
          <t>Massaru Imóveis</t>
        </is>
      </c>
      <c r="D962" s="13" t="inlineStr"/>
      <c r="E962" s="13" t="inlineStr">
        <is>
          <t>Apartamento</t>
        </is>
      </c>
      <c r="F962" s="13" t="inlineStr">
        <is>
          <t>Rua Neo Alves Martins, 1185, Zona 03</t>
        </is>
      </c>
      <c r="G962" s="13" t="n">
        <v>109.19</v>
      </c>
      <c r="H962" s="13" t="n"/>
      <c r="I962" s="13" t="n">
        <v>1</v>
      </c>
      <c r="K962" s="13" t="n">
        <v>2</v>
      </c>
      <c r="L962" s="13" t="n">
        <v>880000</v>
      </c>
      <c r="M962" s="13" t="inlineStr">
        <is>
          <t>Ref: 00001069 | Buzatto | https://massaruimoveis.com.br/imovel/00001069/</t>
        </is>
      </c>
      <c r="N962" s="13" t="inlineStr">
        <is>
          <t>Novo</t>
        </is>
      </c>
      <c r="O962" s="13" t="inlineStr"/>
    </row>
    <row r="963">
      <c r="A963" s="13" t="inlineStr">
        <is>
          <t>2026-06-28</t>
        </is>
      </c>
      <c r="B963" s="13" t="inlineStr">
        <is>
          <t>massaruimoveis.com.br</t>
        </is>
      </c>
      <c r="C963" s="13" t="inlineStr">
        <is>
          <t>Massaru Imóveis</t>
        </is>
      </c>
      <c r="D963" s="13" t="inlineStr"/>
      <c r="E963" s="13" t="inlineStr">
        <is>
          <t>Apartamento</t>
        </is>
      </c>
      <c r="F963" s="13" t="inlineStr">
        <is>
          <t>Avenida Tuiuti, 4673, Jardim Colina Verde</t>
        </is>
      </c>
      <c r="G963" s="13" t="n">
        <v>150.49</v>
      </c>
      <c r="H963" s="13" t="n">
        <v>1</v>
      </c>
      <c r="I963" s="13" t="n">
        <v>2</v>
      </c>
      <c r="K963" s="13" t="inlineStr"/>
      <c r="L963" s="13" t="n">
        <v>880000</v>
      </c>
      <c r="M963" s="13" t="inlineStr">
        <is>
          <t>Ref: 00001092 | https://massaruimoveis.com.br/imovel/00001092/</t>
        </is>
      </c>
      <c r="N963" s="13" t="inlineStr">
        <is>
          <t>Novo</t>
        </is>
      </c>
      <c r="O963" s="13" t="inlineStr"/>
    </row>
    <row r="964">
      <c r="A964" s="13" t="inlineStr">
        <is>
          <t>2026-06-28</t>
        </is>
      </c>
      <c r="B964" s="13" t="inlineStr">
        <is>
          <t>massaruimoveis.com.br</t>
        </is>
      </c>
      <c r="C964" s="13" t="inlineStr">
        <is>
          <t>Massaru Imóveis</t>
        </is>
      </c>
      <c r="D964" s="13" t="inlineStr"/>
      <c r="E964" s="13" t="inlineStr">
        <is>
          <t>Apartamento</t>
        </is>
      </c>
      <c r="F964" s="13" t="inlineStr">
        <is>
          <t>Travessa Indianópolis, 25, Zona 08</t>
        </is>
      </c>
      <c r="G964" s="13" t="n">
        <v>150</v>
      </c>
      <c r="H964" s="13" t="n">
        <v>1</v>
      </c>
      <c r="I964" s="13" t="n">
        <v>2</v>
      </c>
      <c r="K964" s="13" t="n">
        <v>2</v>
      </c>
      <c r="L964" s="13" t="n">
        <v>890000</v>
      </c>
      <c r="M964" s="13" t="inlineStr">
        <is>
          <t>Ref: 00000612 | https://massaruimoveis.com.br/imovel/00000612/</t>
        </is>
      </c>
      <c r="N964" s="13" t="inlineStr">
        <is>
          <t>Novo</t>
        </is>
      </c>
      <c r="O964" s="13" t="inlineStr"/>
    </row>
    <row r="965">
      <c r="A965" s="13" t="inlineStr">
        <is>
          <t>2026-06-28</t>
        </is>
      </c>
      <c r="B965" s="13" t="inlineStr">
        <is>
          <t>massaruimoveis.com.br</t>
        </is>
      </c>
      <c r="C965" s="13" t="inlineStr">
        <is>
          <t>Massaru Imóveis</t>
        </is>
      </c>
      <c r="D965" s="13" t="inlineStr"/>
      <c r="E965" s="13" t="inlineStr">
        <is>
          <t>Apartamento</t>
        </is>
      </c>
      <c r="F965" s="13" t="inlineStr">
        <is>
          <t>Rua Monte Carlo, 287, Jardim Novo Horizonte</t>
        </is>
      </c>
      <c r="G965" s="13" t="n">
        <v>174</v>
      </c>
      <c r="H965" s="13" t="n">
        <v>1</v>
      </c>
      <c r="I965" s="13" t="n">
        <v>3</v>
      </c>
      <c r="K965" s="13" t="n">
        <v>2</v>
      </c>
      <c r="L965" s="13" t="n">
        <v>890000</v>
      </c>
      <c r="M965" s="13" t="inlineStr">
        <is>
          <t>Ref: 00001072 | https://massaruimoveis.com.br/imovel/00001072/</t>
        </is>
      </c>
      <c r="N965" s="13" t="inlineStr">
        <is>
          <t>Novo</t>
        </is>
      </c>
      <c r="O965" s="13" t="inlineStr"/>
    </row>
    <row r="966">
      <c r="A966" s="13" t="inlineStr">
        <is>
          <t>2026-06-28</t>
        </is>
      </c>
      <c r="B966" s="13" t="inlineStr">
        <is>
          <t>massaruimoveis.com.br</t>
        </is>
      </c>
      <c r="C966" s="13" t="inlineStr">
        <is>
          <t>Massaru Imóveis</t>
        </is>
      </c>
      <c r="D966" s="13" t="inlineStr"/>
      <c r="E966" s="13" t="inlineStr">
        <is>
          <t>Apartamento</t>
        </is>
      </c>
      <c r="F966" s="13" t="inlineStr">
        <is>
          <t>Rua Pioneiro Hideo Toda, 478, Jardim Mediterrâneo</t>
        </is>
      </c>
      <c r="G966" s="13" t="n">
        <v>144</v>
      </c>
      <c r="H966" s="13" t="n">
        <v>1</v>
      </c>
      <c r="I966" s="13" t="n">
        <v>3</v>
      </c>
      <c r="K966" s="13" t="n">
        <v>3</v>
      </c>
      <c r="L966" s="13" t="n">
        <v>895000</v>
      </c>
      <c r="M966" s="13" t="inlineStr">
        <is>
          <t>Ref: 00000923 | https://massaruimoveis.com.br/imovel/00000923/</t>
        </is>
      </c>
      <c r="N966" s="13" t="inlineStr">
        <is>
          <t>Novo</t>
        </is>
      </c>
      <c r="O966" s="13" t="inlineStr"/>
    </row>
    <row r="967">
      <c r="A967" s="13" t="inlineStr">
        <is>
          <t>2026-06-28</t>
        </is>
      </c>
      <c r="B967" s="13" t="inlineStr">
        <is>
          <t>massaruimoveis.com.br</t>
        </is>
      </c>
      <c r="C967" s="13" t="inlineStr">
        <is>
          <t>Massaru Imóveis</t>
        </is>
      </c>
      <c r="D967" s="13" t="inlineStr"/>
      <c r="E967" s="13" t="inlineStr">
        <is>
          <t>Apartamento</t>
        </is>
      </c>
      <c r="F967" s="13" t="inlineStr">
        <is>
          <t>Rua Fernando Firmino de Paiva, 1151, Parque Industrial</t>
        </is>
      </c>
      <c r="G967" s="13" t="n">
        <v>156.7</v>
      </c>
      <c r="H967" s="13" t="n">
        <v>1</v>
      </c>
      <c r="I967" s="13" t="n">
        <v>2</v>
      </c>
      <c r="K967" s="13" t="n">
        <v>3</v>
      </c>
      <c r="L967" s="13" t="n">
        <v>900000</v>
      </c>
      <c r="M967" s="13" t="inlineStr">
        <is>
          <t>Ref: 00000267 | https://massaruimoveis.com.br/imovel/00000267/</t>
        </is>
      </c>
      <c r="N967" s="13" t="inlineStr">
        <is>
          <t>Novo</t>
        </is>
      </c>
      <c r="O967" s="13" t="inlineStr"/>
    </row>
    <row r="968">
      <c r="A968" s="13" t="inlineStr">
        <is>
          <t>2026-06-28</t>
        </is>
      </c>
      <c r="B968" s="13" t="inlineStr">
        <is>
          <t>massaruimoveis.com.br</t>
        </is>
      </c>
      <c r="C968" s="13" t="inlineStr">
        <is>
          <t>Massaru Imóveis</t>
        </is>
      </c>
      <c r="D968" s="13" t="inlineStr"/>
      <c r="E968" s="13" t="inlineStr">
        <is>
          <t>Apartamento</t>
        </is>
      </c>
      <c r="F968" s="13" t="inlineStr">
        <is>
          <t>Rua Martin Afonso, 1156-2, Jardim Novo Horizonte</t>
        </is>
      </c>
      <c r="G968" s="13" t="n">
        <v>198.17</v>
      </c>
      <c r="H968" s="13" t="n">
        <v>2</v>
      </c>
      <c r="I968" s="13" t="n">
        <v>2</v>
      </c>
      <c r="K968" s="13" t="inlineStr"/>
      <c r="L968" s="13" t="n">
        <v>900000</v>
      </c>
      <c r="M968" s="13" t="inlineStr">
        <is>
          <t>Ref: 00000298 | https://massaruimoveis.com.br/imovel/00000298/</t>
        </is>
      </c>
      <c r="N968" s="13" t="inlineStr">
        <is>
          <t>Novo</t>
        </is>
      </c>
      <c r="O968" s="13" t="inlineStr"/>
    </row>
    <row r="969">
      <c r="A969" s="13" t="inlineStr">
        <is>
          <t>2026-06-28</t>
        </is>
      </c>
      <c r="B969" s="13" t="inlineStr">
        <is>
          <t>massaruimoveis.com.br</t>
        </is>
      </c>
      <c r="C969" s="13" t="inlineStr">
        <is>
          <t>Massaru Imóveis</t>
        </is>
      </c>
      <c r="D969" s="13" t="inlineStr"/>
      <c r="E969" s="13" t="inlineStr">
        <is>
          <t>Apartamento</t>
        </is>
      </c>
      <c r="F969" s="13" t="inlineStr">
        <is>
          <t>Rua Martin Afonso, 1065, Zona 02</t>
        </is>
      </c>
      <c r="G969" s="13" t="n">
        <v>600</v>
      </c>
      <c r="H969" s="13" t="inlineStr"/>
      <c r="I969" s="13" t="inlineStr"/>
      <c r="K969" s="13" t="inlineStr"/>
      <c r="L969" s="13" t="n">
        <v>950000</v>
      </c>
      <c r="M969" s="13" t="inlineStr">
        <is>
          <t>Ref: 00000077 | https://massaruimoveis.com.br/imovel/00000077/</t>
        </is>
      </c>
      <c r="N969" s="13" t="inlineStr">
        <is>
          <t>Novo</t>
        </is>
      </c>
      <c r="O969" s="13" t="inlineStr"/>
    </row>
    <row r="970">
      <c r="A970" s="13" t="inlineStr">
        <is>
          <t>2026-06-28</t>
        </is>
      </c>
      <c r="B970" s="13" t="inlineStr">
        <is>
          <t>massaruimoveis.com.br</t>
        </is>
      </c>
      <c r="C970" s="13" t="inlineStr">
        <is>
          <t>Massaru Imóveis</t>
        </is>
      </c>
      <c r="D970" s="13" t="inlineStr"/>
      <c r="E970" s="13" t="inlineStr">
        <is>
          <t>Apartamento</t>
        </is>
      </c>
      <c r="F970" s="13" t="inlineStr">
        <is>
          <t>Rua Coronel Camisão, 166, Zona 05</t>
        </is>
      </c>
      <c r="G970" s="13" t="n">
        <v>180</v>
      </c>
      <c r="H970" s="13" t="n">
        <v>1</v>
      </c>
      <c r="I970" s="13" t="n">
        <v>3</v>
      </c>
      <c r="K970" s="13" t="n">
        <v>3</v>
      </c>
      <c r="L970" s="13" t="n">
        <v>950000</v>
      </c>
      <c r="M970" s="13" t="inlineStr">
        <is>
          <t>Ref: 00000262 | https://massaruimoveis.com.br/imovel/00000262/</t>
        </is>
      </c>
      <c r="N970" s="13" t="inlineStr">
        <is>
          <t>Novo</t>
        </is>
      </c>
      <c r="O970" s="13" t="inlineStr"/>
    </row>
    <row r="971">
      <c r="A971" s="13" t="inlineStr">
        <is>
          <t>2026-06-28</t>
        </is>
      </c>
      <c r="B971" s="13" t="inlineStr">
        <is>
          <t>massaruimoveis.com.br</t>
        </is>
      </c>
      <c r="C971" s="13" t="inlineStr">
        <is>
          <t>Massaru Imóveis</t>
        </is>
      </c>
      <c r="D971" s="13" t="inlineStr"/>
      <c r="E971" s="13" t="inlineStr">
        <is>
          <t>Apartamento</t>
        </is>
      </c>
      <c r="F971" s="13" t="inlineStr">
        <is>
          <t>Rua de Ligação Walter Karlos Steiner, 92, Jardim Paris VI</t>
        </is>
      </c>
      <c r="G971" s="13" t="n">
        <v>150</v>
      </c>
      <c r="H971" s="13" t="n">
        <v>1</v>
      </c>
      <c r="I971" s="13" t="n">
        <v>2</v>
      </c>
      <c r="K971" s="13" t="n">
        <v>3</v>
      </c>
      <c r="L971" s="13" t="n">
        <v>960000</v>
      </c>
      <c r="M971" s="13" t="inlineStr">
        <is>
          <t>Ref: 00001129 | https://massaruimoveis.com.br/imovel/00001129/</t>
        </is>
      </c>
      <c r="N971" s="13" t="inlineStr">
        <is>
          <t>Novo</t>
        </is>
      </c>
      <c r="O971" s="13" t="inlineStr"/>
    </row>
    <row r="972">
      <c r="A972" s="13" t="inlineStr">
        <is>
          <t>2026-06-28</t>
        </is>
      </c>
      <c r="B972" s="13" t="inlineStr">
        <is>
          <t>massaruimoveis.com.br</t>
        </is>
      </c>
      <c r="C972" s="13" t="inlineStr">
        <is>
          <t>Massaru Imóveis</t>
        </is>
      </c>
      <c r="D972" s="13" t="inlineStr"/>
      <c r="E972" s="13" t="inlineStr">
        <is>
          <t>Apartamento</t>
        </is>
      </c>
      <c r="F972" s="13" t="inlineStr">
        <is>
          <t>Rua Mitugu Miyabayashi, 416, Portal das Torres</t>
        </is>
      </c>
      <c r="G972" s="13" t="n">
        <v>290</v>
      </c>
      <c r="H972" s="13" t="n">
        <v>1</v>
      </c>
      <c r="I972" s="13" t="n">
        <v>2</v>
      </c>
      <c r="K972" s="13" t="n">
        <v>4</v>
      </c>
      <c r="L972" s="13" t="n">
        <v>980000</v>
      </c>
      <c r="M972" s="13" t="inlineStr">
        <is>
          <t>Ref: 00000228 | https://massaruimoveis.com.br/imovel/00000228/</t>
        </is>
      </c>
      <c r="N972" s="13" t="inlineStr">
        <is>
          <t>Novo</t>
        </is>
      </c>
      <c r="O972" s="13" t="inlineStr"/>
    </row>
    <row r="973">
      <c r="A973" s="13" t="inlineStr">
        <is>
          <t>2026-06-28</t>
        </is>
      </c>
      <c r="B973" s="13" t="inlineStr">
        <is>
          <t>massaruimoveis.com.br</t>
        </is>
      </c>
      <c r="C973" s="13" t="inlineStr">
        <is>
          <t>Massaru Imóveis</t>
        </is>
      </c>
      <c r="D973" s="13" t="inlineStr"/>
      <c r="E973" s="13" t="inlineStr">
        <is>
          <t>Sobrado</t>
        </is>
      </c>
      <c r="F973" s="13" t="inlineStr">
        <is>
          <t>Rua Pioneiro José Poppi, 698, Jardim Tóquio</t>
        </is>
      </c>
      <c r="G973" s="13" t="n">
        <v>165</v>
      </c>
      <c r="H973" s="13" t="n">
        <v>3</v>
      </c>
      <c r="I973" s="13" t="n">
        <v>5</v>
      </c>
      <c r="K973" s="13" t="n">
        <v>2</v>
      </c>
      <c r="L973" s="13" t="n">
        <v>980000</v>
      </c>
      <c r="M973" s="13" t="inlineStr">
        <is>
          <t>Ref: 00001127 | https://massaruimoveis.com.br/imovel/00001127/</t>
        </is>
      </c>
      <c r="N973" s="13" t="inlineStr">
        <is>
          <t>Novo</t>
        </is>
      </c>
      <c r="O973" s="13" t="inlineStr"/>
    </row>
    <row r="974">
      <c r="A974" s="13" t="inlineStr">
        <is>
          <t>2026-06-28</t>
        </is>
      </c>
      <c r="B974" s="13" t="inlineStr">
        <is>
          <t>massaruimoveis.com.br</t>
        </is>
      </c>
      <c r="C974" s="13" t="inlineStr">
        <is>
          <t>Massaru Imóveis</t>
        </is>
      </c>
      <c r="D974" s="13" t="inlineStr"/>
      <c r="E974" s="13" t="inlineStr">
        <is>
          <t>Apartamento</t>
        </is>
      </c>
      <c r="F974" s="13" t="inlineStr">
        <is>
          <t>Rua Francisco Knabben, 100, Jardim Guaporé</t>
        </is>
      </c>
      <c r="G974" s="13" t="n">
        <v>540</v>
      </c>
      <c r="H974" s="13" t="inlineStr"/>
      <c r="I974" s="13" t="inlineStr"/>
      <c r="K974" s="13" t="inlineStr"/>
      <c r="L974" s="13" t="n">
        <v>999000</v>
      </c>
      <c r="M974" s="13" t="inlineStr">
        <is>
          <t>Ref: 00000697 | https://massaruimoveis.com.br/imovel/00000697/</t>
        </is>
      </c>
      <c r="N974" s="13" t="inlineStr">
        <is>
          <t>Novo</t>
        </is>
      </c>
      <c r="O974" s="13" t="inlineStr"/>
    </row>
    <row r="975">
      <c r="A975" s="13" t="inlineStr">
        <is>
          <t>2026-06-28</t>
        </is>
      </c>
      <c r="B975" s="13" t="inlineStr">
        <is>
          <t>massaruimoveis.com.br</t>
        </is>
      </c>
      <c r="C975" s="13" t="inlineStr">
        <is>
          <t>Massaru Imóveis</t>
        </is>
      </c>
      <c r="D975" s="13" t="inlineStr"/>
      <c r="E975" s="13" t="inlineStr">
        <is>
          <t>Apartamento</t>
        </is>
      </c>
      <c r="F975" s="13" t="inlineStr">
        <is>
          <t>Avenida Arquiteto Nildo Ribeiro da Rocha, Vila Marumby</t>
        </is>
      </c>
      <c r="G975" s="13" t="n">
        <v>100.36</v>
      </c>
      <c r="H975" s="13" t="n">
        <v>2</v>
      </c>
      <c r="I975" s="13" t="inlineStr"/>
      <c r="K975" s="13" t="inlineStr"/>
      <c r="L975" s="13" t="n">
        <v>1000000</v>
      </c>
      <c r="M975" s="13" t="inlineStr">
        <is>
          <t>Ref: 00000171 | https://massaruimoveis.com.br/imovel/00000171/</t>
        </is>
      </c>
      <c r="N975" s="13" t="inlineStr">
        <is>
          <t>Novo</t>
        </is>
      </c>
      <c r="O975" s="13" t="inlineStr"/>
    </row>
    <row r="976">
      <c r="A976" s="13" t="inlineStr">
        <is>
          <t>2026-06-28</t>
        </is>
      </c>
      <c r="B976" s="13" t="inlineStr">
        <is>
          <t>massaruimoveis.com.br</t>
        </is>
      </c>
      <c r="C976" s="13" t="inlineStr">
        <is>
          <t>Massaru Imóveis</t>
        </is>
      </c>
      <c r="D976" s="13" t="inlineStr"/>
      <c r="E976" s="13" t="inlineStr">
        <is>
          <t>Apartamento</t>
        </is>
      </c>
      <c r="F976" s="13" t="inlineStr">
        <is>
          <t>Rua Rio Hudson, 4654, Jardim Colina Verde</t>
        </is>
      </c>
      <c r="G976" s="13" t="n">
        <v>366.6</v>
      </c>
      <c r="H976" s="13" t="n">
        <v>1</v>
      </c>
      <c r="I976" s="13" t="n">
        <v>3</v>
      </c>
      <c r="K976" s="13" t="n">
        <v>7</v>
      </c>
      <c r="L976" s="13" t="n">
        <v>1030000</v>
      </c>
      <c r="M976" s="13" t="inlineStr">
        <is>
          <t>Ref: 00000013 | https://massaruimoveis.com.br/imovel/00000013/</t>
        </is>
      </c>
      <c r="N976" s="13" t="inlineStr">
        <is>
          <t>Novo</t>
        </is>
      </c>
      <c r="O976" s="13" t="inlineStr"/>
    </row>
    <row r="977">
      <c r="A977" s="13" t="inlineStr">
        <is>
          <t>2026-06-28</t>
        </is>
      </c>
      <c r="B977" s="13" t="inlineStr">
        <is>
          <t>massaruimoveis.com.br</t>
        </is>
      </c>
      <c r="C977" s="13" t="inlineStr">
        <is>
          <t>Massaru Imóveis</t>
        </is>
      </c>
      <c r="D977" s="13" t="inlineStr"/>
      <c r="E977" s="13" t="inlineStr">
        <is>
          <t>Apartamento</t>
        </is>
      </c>
      <c r="F977" s="13" t="inlineStr">
        <is>
          <t>Rua Amazonas, 28, Jardim Alvorada</t>
        </is>
      </c>
      <c r="G977" s="13" t="n">
        <v>228</v>
      </c>
      <c r="H977" s="13" t="n">
        <v>1</v>
      </c>
      <c r="I977" s="13" t="n">
        <v>2</v>
      </c>
      <c r="K977" s="13" t="n">
        <v>2</v>
      </c>
      <c r="L977" s="13" t="n">
        <v>1100000</v>
      </c>
      <c r="M977" s="13" t="inlineStr">
        <is>
          <t>Ref: 00000014 | https://massaruimoveis.com.br/imovel/00000014/</t>
        </is>
      </c>
      <c r="N977" s="13" t="inlineStr">
        <is>
          <t>Novo</t>
        </is>
      </c>
      <c r="O977" s="13" t="inlineStr"/>
    </row>
    <row r="978">
      <c r="A978" s="13" t="inlineStr">
        <is>
          <t>2026-06-28</t>
        </is>
      </c>
      <c r="B978" s="13" t="inlineStr">
        <is>
          <t>massaruimoveis.com.br</t>
        </is>
      </c>
      <c r="C978" s="13" t="inlineStr">
        <is>
          <t>Massaru Imóveis</t>
        </is>
      </c>
      <c r="D978" s="13" t="inlineStr"/>
      <c r="E978" s="13" t="inlineStr">
        <is>
          <t>Apartamento</t>
        </is>
      </c>
      <c r="F978" s="13" t="inlineStr">
        <is>
          <t>Avenida Senador Petrônio Portela, 689, Jardim Aclimação</t>
        </is>
      </c>
      <c r="G978" s="13" t="n">
        <v>360</v>
      </c>
      <c r="H978" s="13" t="inlineStr"/>
      <c r="I978" s="13" t="inlineStr"/>
      <c r="K978" s="13" t="inlineStr"/>
      <c r="L978" s="13" t="n">
        <v>1100000</v>
      </c>
      <c r="M978" s="13" t="inlineStr">
        <is>
          <t>Ref: 00000346 | https://massaruimoveis.com.br/imovel/00000346/</t>
        </is>
      </c>
      <c r="N978" s="13" t="inlineStr">
        <is>
          <t>Novo</t>
        </is>
      </c>
      <c r="O978" s="13" t="inlineStr"/>
    </row>
    <row r="979">
      <c r="A979" s="13" t="inlineStr">
        <is>
          <t>2026-06-28</t>
        </is>
      </c>
      <c r="B979" s="13" t="inlineStr">
        <is>
          <t>massaruimoveis.com.br</t>
        </is>
      </c>
      <c r="C979" s="13" t="inlineStr">
        <is>
          <t>Massaru Imóveis</t>
        </is>
      </c>
      <c r="D979" s="13" t="inlineStr"/>
      <c r="E979" s="13" t="inlineStr">
        <is>
          <t>Apartamento</t>
        </is>
      </c>
      <c r="F979" s="13" t="inlineStr">
        <is>
          <t>Rua Rodrigo Silva, 157, Zona 04</t>
        </is>
      </c>
      <c r="G979" s="13" t="n">
        <v>211.25</v>
      </c>
      <c r="H979" s="13" t="n">
        <v>1</v>
      </c>
      <c r="I979" s="13" t="n">
        <v>3</v>
      </c>
      <c r="K979" s="13" t="n">
        <v>2</v>
      </c>
      <c r="L979" s="13" t="n">
        <v>1100000</v>
      </c>
      <c r="M979" s="13" t="inlineStr">
        <is>
          <t>Ref: 00001177 | https://massaruimoveis.com.br/imovel/00001177/</t>
        </is>
      </c>
      <c r="N979" s="13" t="inlineStr">
        <is>
          <t>Novo</t>
        </is>
      </c>
      <c r="O979" s="13" t="inlineStr"/>
    </row>
    <row r="980">
      <c r="A980" s="13" t="inlineStr">
        <is>
          <t>2026-06-28</t>
        </is>
      </c>
      <c r="B980" s="13" t="inlineStr">
        <is>
          <t>massaruimoveis.com.br</t>
        </is>
      </c>
      <c r="C980" s="13" t="inlineStr">
        <is>
          <t>Massaru Imóveis</t>
        </is>
      </c>
      <c r="D980" s="13" t="inlineStr"/>
      <c r="E980" s="13" t="inlineStr">
        <is>
          <t>Apartamento</t>
        </is>
      </c>
      <c r="F980" s="13" t="inlineStr">
        <is>
          <t>Rua Carlos Chagas, 1657, Zona 05</t>
        </is>
      </c>
      <c r="G980" s="13" t="n">
        <v>650</v>
      </c>
      <c r="H980" s="13" t="n">
        <v>1</v>
      </c>
      <c r="I980" s="13" t="n">
        <v>2</v>
      </c>
      <c r="K980" s="13" t="n">
        <v>5</v>
      </c>
      <c r="L980" s="13" t="n">
        <v>1150000</v>
      </c>
      <c r="M980" s="13" t="inlineStr">
        <is>
          <t>Ref: 00000930 | https://massaruimoveis.com.br/imovel/00000930/</t>
        </is>
      </c>
      <c r="N980" s="13" t="inlineStr">
        <is>
          <t>Novo</t>
        </is>
      </c>
      <c r="O980" s="13" t="inlineStr"/>
    </row>
    <row r="981">
      <c r="A981" s="13" t="inlineStr">
        <is>
          <t>2026-06-28</t>
        </is>
      </c>
      <c r="B981" s="13" t="inlineStr">
        <is>
          <t>massaruimoveis.com.br</t>
        </is>
      </c>
      <c r="C981" s="13" t="inlineStr">
        <is>
          <t>Massaru Imóveis</t>
        </is>
      </c>
      <c r="D981" s="13" t="inlineStr"/>
      <c r="E981" s="13" t="inlineStr">
        <is>
          <t>Apartamento</t>
        </is>
      </c>
      <c r="F981" s="13" t="inlineStr">
        <is>
          <t>Rua Londrina, 322, Jardim Aclimação</t>
        </is>
      </c>
      <c r="G981" s="13" t="n">
        <v>420</v>
      </c>
      <c r="H981" s="13" t="inlineStr"/>
      <c r="I981" s="13" t="inlineStr"/>
      <c r="K981" s="13" t="inlineStr"/>
      <c r="L981" s="13" t="n">
        <v>1150000</v>
      </c>
      <c r="M981" s="13" t="inlineStr">
        <is>
          <t>Ref: 00001194 | https://massaruimoveis.com.br/imovel/00001194/</t>
        </is>
      </c>
      <c r="N981" s="13" t="inlineStr">
        <is>
          <t>Novo</t>
        </is>
      </c>
      <c r="O981" s="13" t="inlineStr"/>
    </row>
    <row r="982">
      <c r="A982" s="13" t="inlineStr">
        <is>
          <t>2026-06-28</t>
        </is>
      </c>
      <c r="B982" s="13" t="inlineStr">
        <is>
          <t>massaruimoveis.com.br</t>
        </is>
      </c>
      <c r="C982" s="13" t="inlineStr">
        <is>
          <t>Massaru Imóveis</t>
        </is>
      </c>
      <c r="D982" s="13" t="inlineStr"/>
      <c r="E982" s="13" t="inlineStr">
        <is>
          <t>Apartamento</t>
        </is>
      </c>
      <c r="F982" s="13" t="inlineStr">
        <is>
          <t>Rua Londrina, 322, Jardim Aclimação</t>
        </is>
      </c>
      <c r="G982" s="13" t="n">
        <v>311</v>
      </c>
      <c r="H982" s="13" t="n"/>
      <c r="I982" s="13" t="n"/>
      <c r="K982" s="13" t="n"/>
      <c r="L982" s="13" t="n">
        <v>1150000</v>
      </c>
      <c r="M982" s="13" t="inlineStr">
        <is>
          <t>Ref: 00001195 | https://massaruimoveis.com.br/imovel/00001195/</t>
        </is>
      </c>
      <c r="N982" s="13" t="inlineStr">
        <is>
          <t>Novo</t>
        </is>
      </c>
      <c r="O982" s="13" t="inlineStr"/>
    </row>
    <row r="983">
      <c r="A983" s="13" t="inlineStr">
        <is>
          <t>2026-06-28</t>
        </is>
      </c>
      <c r="B983" s="13" t="inlineStr">
        <is>
          <t>massaruimoveis.com.br</t>
        </is>
      </c>
      <c r="C983" s="13" t="inlineStr">
        <is>
          <t>Massaru Imóveis</t>
        </is>
      </c>
      <c r="D983" s="13" t="inlineStr"/>
      <c r="E983" s="13" t="inlineStr">
        <is>
          <t>Apartamento</t>
        </is>
      </c>
      <c r="F983" s="13" t="inlineStr">
        <is>
          <t>Marginal B, 4145, Loteamento Grajaú</t>
        </is>
      </c>
      <c r="G983" s="13" t="n">
        <v>329.27</v>
      </c>
      <c r="H983" s="13" t="n">
        <v>4</v>
      </c>
      <c r="I983" s="13" t="n">
        <v>2</v>
      </c>
      <c r="K983" s="13" t="inlineStr"/>
      <c r="L983" s="13" t="n">
        <v>1180000</v>
      </c>
      <c r="M983" s="13" t="inlineStr">
        <is>
          <t>Ref: 00001191 | https://massaruimoveis.com.br/imovel/00001191/</t>
        </is>
      </c>
      <c r="N983" s="13" t="inlineStr">
        <is>
          <t>Novo</t>
        </is>
      </c>
      <c r="O983" s="13" t="inlineStr"/>
    </row>
    <row r="984">
      <c r="A984" s="13" t="inlineStr">
        <is>
          <t>2026-06-28</t>
        </is>
      </c>
      <c r="B984" s="13" t="inlineStr">
        <is>
          <t>massaruimoveis.com.br</t>
        </is>
      </c>
      <c r="C984" s="13" t="inlineStr">
        <is>
          <t>Massaru Imóveis</t>
        </is>
      </c>
      <c r="D984" s="13" t="inlineStr"/>
      <c r="E984" s="13" t="inlineStr">
        <is>
          <t>Casa</t>
        </is>
      </c>
      <c r="F984" s="13" t="inlineStr">
        <is>
          <t>Jardim Paris III</t>
        </is>
      </c>
      <c r="G984" s="13" t="n">
        <v>185</v>
      </c>
      <c r="H984" s="13" t="n">
        <v>3</v>
      </c>
      <c r="I984" s="13" t="n">
        <v>4</v>
      </c>
      <c r="K984" s="13" t="n">
        <v>4</v>
      </c>
      <c r="L984" s="13" t="n">
        <v>1200000</v>
      </c>
      <c r="M984" s="13" t="inlineStr">
        <is>
          <t>Ref: 00001172 | https://massaruimoveis.com.br/imovel/00001172/</t>
        </is>
      </c>
      <c r="N984" s="13" t="inlineStr">
        <is>
          <t>Novo</t>
        </is>
      </c>
      <c r="O984" s="13" t="inlineStr"/>
    </row>
    <row r="985">
      <c r="A985" s="13" t="inlineStr">
        <is>
          <t>2026-06-28</t>
        </is>
      </c>
      <c r="B985" s="13" t="inlineStr">
        <is>
          <t>massaruimoveis.com.br</t>
        </is>
      </c>
      <c r="C985" s="13" t="inlineStr">
        <is>
          <t>Massaru Imóveis</t>
        </is>
      </c>
      <c r="D985" s="13" t="inlineStr"/>
      <c r="E985" s="13" t="inlineStr">
        <is>
          <t>Apartamento</t>
        </is>
      </c>
      <c r="F985" s="13" t="inlineStr">
        <is>
          <t>Rua Décio Ormerod Nazário, 238, Jardim Paris VI</t>
        </is>
      </c>
      <c r="G985" s="13" t="n">
        <v>197.27</v>
      </c>
      <c r="H985" s="13" t="n">
        <v>3</v>
      </c>
      <c r="I985" s="13" t="n">
        <v>4</v>
      </c>
      <c r="K985" s="13" t="n">
        <v>4</v>
      </c>
      <c r="L985" s="13" t="n">
        <v>1249000</v>
      </c>
      <c r="M985" s="13" t="inlineStr">
        <is>
          <t>Ref: 00001004 | https://massaruimoveis.com.br/imovel/00001004/</t>
        </is>
      </c>
      <c r="N985" s="13" t="inlineStr">
        <is>
          <t>Novo</t>
        </is>
      </c>
      <c r="O985" s="13" t="inlineStr"/>
    </row>
    <row r="986">
      <c r="A986" s="13" t="inlineStr">
        <is>
          <t>2026-06-28</t>
        </is>
      </c>
      <c r="B986" s="13" t="inlineStr">
        <is>
          <t>massaruimoveis.com.br</t>
        </is>
      </c>
      <c r="C986" s="13" t="inlineStr">
        <is>
          <t>Massaru Imóveis</t>
        </is>
      </c>
      <c r="D986" s="13" t="inlineStr"/>
      <c r="E986" s="13" t="inlineStr">
        <is>
          <t>Apartamento</t>
        </is>
      </c>
      <c r="F986" s="13" t="inlineStr">
        <is>
          <t>Rua Chicago, 45, Jardim Los Angeles</t>
        </is>
      </c>
      <c r="G986" s="13" t="n">
        <v>405.16</v>
      </c>
      <c r="H986" s="13" t="n">
        <v>2</v>
      </c>
      <c r="I986" s="13" t="n">
        <v>5</v>
      </c>
      <c r="K986" s="13" t="n">
        <v>2</v>
      </c>
      <c r="L986" s="13" t="n">
        <v>1280000</v>
      </c>
      <c r="M986" s="13" t="inlineStr">
        <is>
          <t>Ref: 00000314 | https://massaruimoveis.com.br/imovel/00000314/</t>
        </is>
      </c>
      <c r="N986" s="13" t="inlineStr">
        <is>
          <t>Novo</t>
        </is>
      </c>
      <c r="O986" s="13" t="inlineStr"/>
    </row>
    <row r="987">
      <c r="A987" s="13" t="inlineStr">
        <is>
          <t>2026-06-28</t>
        </is>
      </c>
      <c r="B987" s="13" t="inlineStr">
        <is>
          <t>massaruimoveis.com.br</t>
        </is>
      </c>
      <c r="C987" s="13" t="inlineStr">
        <is>
          <t>Massaru Imóveis</t>
        </is>
      </c>
      <c r="D987" s="13" t="inlineStr"/>
      <c r="E987" s="13" t="inlineStr">
        <is>
          <t>Apartamento</t>
        </is>
      </c>
      <c r="F987" s="13" t="inlineStr">
        <is>
          <t>Rua Antônio Carniel, 246, Zona 05</t>
        </is>
      </c>
      <c r="G987" s="13" t="n">
        <v>177.66</v>
      </c>
      <c r="H987" s="13" t="n">
        <v>3</v>
      </c>
      <c r="I987" s="13" t="n">
        <v>3</v>
      </c>
      <c r="K987" s="13" t="n">
        <v>6</v>
      </c>
      <c r="L987" s="13" t="n">
        <v>1300000</v>
      </c>
      <c r="M987" s="13" t="inlineStr">
        <is>
          <t>Ref: 00001159 | https://massaruimoveis.com.br/imovel/00001159/</t>
        </is>
      </c>
      <c r="N987" s="13" t="inlineStr">
        <is>
          <t>Novo</t>
        </is>
      </c>
      <c r="O987" s="13" t="inlineStr"/>
    </row>
    <row r="988">
      <c r="A988" s="13" t="inlineStr">
        <is>
          <t>2026-06-28</t>
        </is>
      </c>
      <c r="B988" s="13" t="inlineStr">
        <is>
          <t>massaruimoveis.com.br</t>
        </is>
      </c>
      <c r="C988" s="13" t="inlineStr">
        <is>
          <t>Massaru Imóveis</t>
        </is>
      </c>
      <c r="D988" s="13" t="inlineStr"/>
      <c r="E988" s="13" t="inlineStr">
        <is>
          <t>Apartamento</t>
        </is>
      </c>
      <c r="F988" s="13" t="inlineStr">
        <is>
          <t>Zona 01 - Centro</t>
        </is>
      </c>
      <c r="G988" s="13" t="n">
        <v>119</v>
      </c>
      <c r="H988" s="13" t="n">
        <v>1</v>
      </c>
      <c r="I988" s="13" t="n">
        <v>2</v>
      </c>
      <c r="K988" s="13" t="n">
        <v>2</v>
      </c>
      <c r="L988" s="13" t="n">
        <v>1310900</v>
      </c>
      <c r="M988" s="13" t="inlineStr">
        <is>
          <t>Ref: 00000570 | Alto Sp | https://massaruimoveis.com.br/imovel/00000570/</t>
        </is>
      </c>
      <c r="N988" s="13" t="inlineStr">
        <is>
          <t>Novo</t>
        </is>
      </c>
      <c r="O988" s="13" t="inlineStr"/>
    </row>
    <row r="989">
      <c r="A989" s="13" t="inlineStr">
        <is>
          <t>2026-06-28</t>
        </is>
      </c>
      <c r="B989" s="13" t="inlineStr">
        <is>
          <t>massaruimoveis.com.br</t>
        </is>
      </c>
      <c r="C989" s="13" t="inlineStr">
        <is>
          <t>Massaru Imóveis</t>
        </is>
      </c>
      <c r="D989" s="13" t="inlineStr"/>
      <c r="E989" s="13" t="inlineStr">
        <is>
          <t>Apartamento</t>
        </is>
      </c>
      <c r="F989" s="13" t="inlineStr">
        <is>
          <t>Rua Américo Brasiliense, 1287, Vila Morangueira</t>
        </is>
      </c>
      <c r="G989" s="13" t="n">
        <v>320</v>
      </c>
      <c r="H989" s="13" t="n">
        <v>1</v>
      </c>
      <c r="I989" s="13" t="n">
        <v>3</v>
      </c>
      <c r="K989" s="13" t="n">
        <v>4</v>
      </c>
      <c r="L989" s="13" t="n">
        <v>1350000</v>
      </c>
      <c r="M989" s="13" t="inlineStr">
        <is>
          <t>Ref: 00000089 | https://massaruimoveis.com.br/imovel/00000089/</t>
        </is>
      </c>
      <c r="N989" s="13" t="inlineStr">
        <is>
          <t>Novo</t>
        </is>
      </c>
      <c r="O989" s="13" t="inlineStr"/>
    </row>
    <row r="990">
      <c r="A990" s="13" t="inlineStr">
        <is>
          <t>2026-06-28</t>
        </is>
      </c>
      <c r="B990" s="13" t="inlineStr">
        <is>
          <t>massaruimoveis.com.br</t>
        </is>
      </c>
      <c r="C990" s="13" t="inlineStr">
        <is>
          <t>Massaru Imóveis</t>
        </is>
      </c>
      <c r="D990" s="13" t="inlineStr"/>
      <c r="E990" s="13" t="inlineStr">
        <is>
          <t>Apartamento</t>
        </is>
      </c>
      <c r="F990" s="13" t="inlineStr">
        <is>
          <t>Rua Recife, 300, Parque Res Cidade Nova</t>
        </is>
      </c>
      <c r="G990" s="13" t="n">
        <v>330</v>
      </c>
      <c r="H990" s="13" t="n">
        <v>2</v>
      </c>
      <c r="I990" s="13" t="n">
        <v>5</v>
      </c>
      <c r="K990" s="13" t="n">
        <v>8</v>
      </c>
      <c r="L990" s="13" t="n">
        <v>1350000</v>
      </c>
      <c r="M990" s="13" t="inlineStr">
        <is>
          <t>Ref: 00000993 | https://massaruimoveis.com.br/imovel/00000993/</t>
        </is>
      </c>
      <c r="N990" s="13" t="inlineStr">
        <is>
          <t>Novo</t>
        </is>
      </c>
      <c r="O990" s="13" t="inlineStr"/>
    </row>
    <row r="991">
      <c r="A991" s="13" t="inlineStr">
        <is>
          <t>2026-06-28</t>
        </is>
      </c>
      <c r="B991" s="13" t="inlineStr">
        <is>
          <t>massaruimoveis.com.br</t>
        </is>
      </c>
      <c r="C991" s="13" t="inlineStr">
        <is>
          <t>Massaru Imóveis</t>
        </is>
      </c>
      <c r="D991" s="13" t="inlineStr"/>
      <c r="E991" s="13" t="inlineStr">
        <is>
          <t>Apartamento</t>
        </is>
      </c>
      <c r="F991" s="13" t="inlineStr">
        <is>
          <t>Rua Lázaro Benedito Carnielli, 357, Jardim Canadá</t>
        </is>
      </c>
      <c r="G991" s="13" t="n">
        <v>217</v>
      </c>
      <c r="H991" s="13" t="n">
        <v>1</v>
      </c>
      <c r="I991" s="13" t="n">
        <v>3</v>
      </c>
      <c r="K991" s="13" t="n">
        <v>4</v>
      </c>
      <c r="L991" s="13" t="n">
        <v>1400000</v>
      </c>
      <c r="M991" s="13" t="inlineStr">
        <is>
          <t>Ref: 00000919 | https://massaruimoveis.com.br/imovel/00000919/</t>
        </is>
      </c>
      <c r="N991" s="13" t="inlineStr">
        <is>
          <t>Novo</t>
        </is>
      </c>
      <c r="O991" s="13" t="inlineStr"/>
    </row>
    <row r="992">
      <c r="A992" s="13" t="inlineStr">
        <is>
          <t>2026-06-28</t>
        </is>
      </c>
      <c r="B992" s="13" t="inlineStr">
        <is>
          <t>massaruimoveis.com.br</t>
        </is>
      </c>
      <c r="C992" s="13" t="inlineStr">
        <is>
          <t>Massaru Imóveis</t>
        </is>
      </c>
      <c r="D992" s="13" t="inlineStr"/>
      <c r="E992" s="13" t="inlineStr">
        <is>
          <t>Apartamento</t>
        </is>
      </c>
      <c r="F992" s="13" t="inlineStr">
        <is>
          <t>Rua Santos Dumont, 2006, Zona 01 - Centro</t>
        </is>
      </c>
      <c r="G992" s="13" t="n">
        <v>119.99</v>
      </c>
      <c r="H992" s="13" t="n">
        <v>3</v>
      </c>
      <c r="I992" s="13" t="n">
        <v>1</v>
      </c>
      <c r="K992" s="13" t="n">
        <v>2</v>
      </c>
      <c r="L992" s="13" t="n">
        <v>1404500</v>
      </c>
      <c r="M992" s="13" t="inlineStr">
        <is>
          <t>Ref: 00000251 | Legacy C=D | https://massaruimoveis.com.br/imovel/00000251/</t>
        </is>
      </c>
      <c r="N992" s="13" t="inlineStr">
        <is>
          <t>Novo</t>
        </is>
      </c>
      <c r="O992" s="13" t="inlineStr"/>
    </row>
    <row r="993">
      <c r="A993" s="13" t="inlineStr">
        <is>
          <t>2026-06-28</t>
        </is>
      </c>
      <c r="B993" s="13" t="inlineStr">
        <is>
          <t>massaruimoveis.com.br</t>
        </is>
      </c>
      <c r="C993" s="13" t="inlineStr">
        <is>
          <t>Massaru Imóveis</t>
        </is>
      </c>
      <c r="D993" s="13" t="inlineStr"/>
      <c r="E993" s="13" t="inlineStr">
        <is>
          <t>Apartamento</t>
        </is>
      </c>
      <c r="F993" s="13" t="inlineStr">
        <is>
          <t>Avenida Kakogawa, 1919, Parque Res Cidade Nova</t>
        </is>
      </c>
      <c r="G993" s="13" t="n">
        <v>401.07</v>
      </c>
      <c r="H993" s="13" t="n">
        <v>4</v>
      </c>
      <c r="I993" s="13" t="n">
        <v>5</v>
      </c>
      <c r="K993" s="13" t="n">
        <v>4</v>
      </c>
      <c r="L993" s="13" t="n">
        <v>1500000</v>
      </c>
      <c r="M993" s="13" t="inlineStr">
        <is>
          <t>Ref: 00000023 | https://massaruimoveis.com.br/imovel/00000023/</t>
        </is>
      </c>
      <c r="N993" s="13" t="inlineStr">
        <is>
          <t>Novo</t>
        </is>
      </c>
      <c r="O993" s="13" t="inlineStr"/>
    </row>
    <row r="994">
      <c r="A994" s="13" t="inlineStr">
        <is>
          <t>2026-06-28</t>
        </is>
      </c>
      <c r="B994" s="13" t="inlineStr">
        <is>
          <t>massaruimoveis.com.br</t>
        </is>
      </c>
      <c r="C994" s="13" t="inlineStr">
        <is>
          <t>Massaru Imóveis</t>
        </is>
      </c>
      <c r="D994" s="13" t="inlineStr"/>
      <c r="E994" s="13" t="inlineStr">
        <is>
          <t>Apartamento</t>
        </is>
      </c>
      <c r="F994" s="13" t="inlineStr">
        <is>
          <t>Avenida Torres, Jardim Diamante</t>
        </is>
      </c>
      <c r="G994" s="13" t="n">
        <v>600</v>
      </c>
      <c r="H994" s="13" t="n">
        <v>1</v>
      </c>
      <c r="I994" s="13" t="n">
        <v>2</v>
      </c>
      <c r="K994" s="13" t="inlineStr"/>
      <c r="L994" s="13" t="n">
        <v>1500000</v>
      </c>
      <c r="M994" s="13" t="inlineStr">
        <is>
          <t>Ref: 00000129 | https://massaruimoveis.com.br/imovel/00000129/</t>
        </is>
      </c>
      <c r="N994" s="13" t="inlineStr">
        <is>
          <t>Novo</t>
        </is>
      </c>
      <c r="O994" s="13" t="inlineStr"/>
    </row>
    <row r="995">
      <c r="A995" s="13" t="inlineStr">
        <is>
          <t>2026-06-28</t>
        </is>
      </c>
      <c r="B995" s="13" t="inlineStr">
        <is>
          <t>massaruimoveis.com.br</t>
        </is>
      </c>
      <c r="C995" s="13" t="inlineStr">
        <is>
          <t>Massaru Imóveis</t>
        </is>
      </c>
      <c r="D995" s="13" t="inlineStr"/>
      <c r="E995" s="13" t="inlineStr">
        <is>
          <t>Apartamento</t>
        </is>
      </c>
      <c r="F995" s="13" t="inlineStr">
        <is>
          <t>Avenida Doutor Mário Clapier Urbinati, 1, Zona 07</t>
        </is>
      </c>
      <c r="G995" s="13" t="n">
        <v>446</v>
      </c>
      <c r="H995" s="13" t="n">
        <v>16</v>
      </c>
      <c r="I995" s="13" t="n">
        <v>9</v>
      </c>
      <c r="K995" s="13" t="inlineStr"/>
      <c r="L995" s="13" t="n">
        <v>1500000</v>
      </c>
      <c r="M995" s="13" t="inlineStr">
        <is>
          <t>Ref: 00000730 | https://massaruimoveis.com.br/imovel/00000730/</t>
        </is>
      </c>
      <c r="N995" s="13" t="inlineStr">
        <is>
          <t>Novo</t>
        </is>
      </c>
      <c r="O995" s="13" t="inlineStr"/>
    </row>
    <row r="996">
      <c r="A996" s="13" t="inlineStr">
        <is>
          <t>2026-06-28</t>
        </is>
      </c>
      <c r="B996" s="13" t="inlineStr">
        <is>
          <t>massaruimoveis.com.br</t>
        </is>
      </c>
      <c r="C996" s="13" t="inlineStr">
        <is>
          <t>Massaru Imóveis</t>
        </is>
      </c>
      <c r="D996" s="13" t="inlineStr"/>
      <c r="E996" s="13" t="inlineStr">
        <is>
          <t>Apartamento</t>
        </is>
      </c>
      <c r="F996" s="13" t="inlineStr">
        <is>
          <t>Avenida Lucílio de Held, 1171, Jardim Alvorada</t>
        </is>
      </c>
      <c r="G996" s="13" t="n">
        <v>390</v>
      </c>
      <c r="H996" s="13" t="n">
        <v>2</v>
      </c>
      <c r="I996" s="13" t="n">
        <v>2</v>
      </c>
      <c r="K996" s="13" t="n">
        <v>2</v>
      </c>
      <c r="L996" s="13" t="n">
        <v>1500000</v>
      </c>
      <c r="M996" s="13" t="inlineStr">
        <is>
          <t>Ref: 00001148 | https://massaruimoveis.com.br/imovel/00001148/</t>
        </is>
      </c>
      <c r="N996" s="13" t="inlineStr">
        <is>
          <t>Novo</t>
        </is>
      </c>
      <c r="O996" s="13" t="inlineStr"/>
    </row>
    <row r="997">
      <c r="A997" s="13" t="inlineStr">
        <is>
          <t>2026-06-28</t>
        </is>
      </c>
      <c r="B997" s="13" t="inlineStr">
        <is>
          <t>massaruimoveis.com.br</t>
        </is>
      </c>
      <c r="C997" s="13" t="inlineStr">
        <is>
          <t>Massaru Imóveis</t>
        </is>
      </c>
      <c r="D997" s="13" t="inlineStr"/>
      <c r="E997" s="13" t="inlineStr">
        <is>
          <t>Apartamento</t>
        </is>
      </c>
      <c r="F997" s="13" t="inlineStr">
        <is>
          <t>Rua Divino Bortolotto, 669, Jardim Cidade Monções</t>
        </is>
      </c>
      <c r="G997" s="13" t="n">
        <v>210</v>
      </c>
      <c r="H997" s="13" t="n">
        <v>3</v>
      </c>
      <c r="I997" s="13" t="n">
        <v>4</v>
      </c>
      <c r="K997" s="13" t="n">
        <v>2</v>
      </c>
      <c r="L997" s="13" t="n">
        <v>1550000</v>
      </c>
      <c r="M997" s="13" t="inlineStr">
        <is>
          <t>Ref: 00000343 | https://massaruimoveis.com.br/imovel/00000343/</t>
        </is>
      </c>
      <c r="N997" s="13" t="inlineStr">
        <is>
          <t>Novo</t>
        </is>
      </c>
      <c r="O997" s="13" t="inlineStr"/>
    </row>
    <row r="998">
      <c r="A998" s="13" t="inlineStr">
        <is>
          <t>2026-06-28</t>
        </is>
      </c>
      <c r="B998" s="13" t="inlineStr">
        <is>
          <t>massaruimoveis.com.br</t>
        </is>
      </c>
      <c r="C998" s="13" t="inlineStr">
        <is>
          <t>Massaru Imóveis</t>
        </is>
      </c>
      <c r="D998" s="13" t="inlineStr"/>
      <c r="E998" s="13" t="inlineStr">
        <is>
          <t>Apartamento</t>
        </is>
      </c>
      <c r="F998" s="13" t="inlineStr">
        <is>
          <t>Avenida XV de Novembro, 89, Zona 01 - Centro</t>
        </is>
      </c>
      <c r="G998" s="13" t="n">
        <v>226.51</v>
      </c>
      <c r="H998" s="13" t="n">
        <v>2</v>
      </c>
      <c r="I998" s="13" t="n">
        <v>4</v>
      </c>
      <c r="K998" s="13" t="n">
        <v>2</v>
      </c>
      <c r="L998" s="13" t="n">
        <v>1600000</v>
      </c>
      <c r="M998" s="13" t="inlineStr">
        <is>
          <t>Ref: 00000149 | Petropolis | https://massaruimoveis.com.br/imovel/00000149/</t>
        </is>
      </c>
      <c r="N998" s="13" t="inlineStr">
        <is>
          <t>Novo</t>
        </is>
      </c>
      <c r="O998" s="13" t="inlineStr"/>
    </row>
    <row r="999">
      <c r="A999" s="13" t="inlineStr">
        <is>
          <t>2026-06-28</t>
        </is>
      </c>
      <c r="B999" s="13" t="inlineStr">
        <is>
          <t>massaruimoveis.com.br</t>
        </is>
      </c>
      <c r="C999" s="13" t="inlineStr">
        <is>
          <t>Massaru Imóveis</t>
        </is>
      </c>
      <c r="D999" s="13" t="inlineStr"/>
      <c r="E999" s="13" t="inlineStr">
        <is>
          <t>Apartamento</t>
        </is>
      </c>
      <c r="F999" s="13" t="inlineStr">
        <is>
          <t>Rodovia Pr317, Gleba Ribeirão Pinguim</t>
        </is>
      </c>
      <c r="G999" s="13" t="n">
        <v>2151.9</v>
      </c>
      <c r="H999" s="13" t="inlineStr"/>
      <c r="I999" s="13" t="inlineStr"/>
      <c r="K999" s="13" t="inlineStr"/>
      <c r="L999" s="13" t="n">
        <v>1600000</v>
      </c>
      <c r="M999" s="13" t="inlineStr">
        <is>
          <t>Ref: 00000688 | https://massaruimoveis.com.br/imovel/00000688/</t>
        </is>
      </c>
      <c r="N999" s="13" t="inlineStr">
        <is>
          <t>Novo</t>
        </is>
      </c>
      <c r="O999" s="13" t="inlineStr"/>
    </row>
    <row r="1000">
      <c r="A1000" s="13" t="inlineStr">
        <is>
          <t>2026-06-28</t>
        </is>
      </c>
      <c r="B1000" s="13" t="inlineStr">
        <is>
          <t>massaruimoveis.com.br</t>
        </is>
      </c>
      <c r="C1000" s="13" t="inlineStr">
        <is>
          <t>Massaru Imóveis</t>
        </is>
      </c>
      <c r="D1000" s="13" t="inlineStr"/>
      <c r="E1000" s="13" t="inlineStr">
        <is>
          <t>Apartamento</t>
        </is>
      </c>
      <c r="F1000" s="13" t="inlineStr">
        <is>
          <t>Rua Setubal, 176, Zona 08</t>
        </is>
      </c>
      <c r="G1000" s="13" t="n">
        <v>187.27</v>
      </c>
      <c r="H1000" s="13" t="n">
        <v>3</v>
      </c>
      <c r="I1000" s="13" t="n">
        <v>3</v>
      </c>
      <c r="K1000" s="13" t="n">
        <v>3</v>
      </c>
      <c r="L1000" s="13" t="n">
        <v>1800000</v>
      </c>
      <c r="M1000" s="13" t="inlineStr">
        <is>
          <t>Ref: 00000296 | https://massaruimoveis.com.br/imovel/00000296/</t>
        </is>
      </c>
      <c r="N1000" s="13" t="inlineStr">
        <is>
          <t>Novo</t>
        </is>
      </c>
      <c r="O1000" s="13" t="inlineStr"/>
    </row>
    <row r="1001">
      <c r="A1001" s="13" t="inlineStr">
        <is>
          <t>2026-06-28</t>
        </is>
      </c>
      <c r="B1001" s="13" t="inlineStr">
        <is>
          <t>massaruimoveis.com.br</t>
        </is>
      </c>
      <c r="C1001" s="13" t="inlineStr">
        <is>
          <t>Massaru Imóveis</t>
        </is>
      </c>
      <c r="D1001" s="13" t="inlineStr"/>
      <c r="E1001" s="13" t="inlineStr">
        <is>
          <t>Apartamento</t>
        </is>
      </c>
      <c r="F1001" s="13" t="inlineStr">
        <is>
          <t>Rua José Jorge Abraão, 443, Zona 05</t>
        </is>
      </c>
      <c r="G1001" s="13" t="n">
        <v>309.24</v>
      </c>
      <c r="H1001" s="13" t="n">
        <v>1</v>
      </c>
      <c r="I1001" s="13" t="n">
        <v>3</v>
      </c>
      <c r="K1001" s="13" t="n">
        <v>3</v>
      </c>
      <c r="L1001" s="13" t="n">
        <v>1800000</v>
      </c>
      <c r="M1001" s="13" t="inlineStr">
        <is>
          <t>Ref: 00001160 | https://massaruimoveis.com.br/imovel/00001160/</t>
        </is>
      </c>
      <c r="N1001" s="13" t="inlineStr">
        <is>
          <t>Novo</t>
        </is>
      </c>
      <c r="O1001" s="13" t="inlineStr"/>
    </row>
    <row r="1002">
      <c r="A1002" s="13" t="inlineStr">
        <is>
          <t>2026-06-28</t>
        </is>
      </c>
      <c r="B1002" s="13" t="inlineStr">
        <is>
          <t>massaruimoveis.com.br</t>
        </is>
      </c>
      <c r="C1002" s="13" t="inlineStr">
        <is>
          <t>Massaru Imóveis</t>
        </is>
      </c>
      <c r="D1002" s="13" t="inlineStr"/>
      <c r="E1002" s="13" t="inlineStr">
        <is>
          <t>Apartamento</t>
        </is>
      </c>
      <c r="F1002" s="13" t="inlineStr">
        <is>
          <t>Rua Itapura, 480, Zona 03</t>
        </is>
      </c>
      <c r="G1002" s="13" t="n">
        <v>161</v>
      </c>
      <c r="H1002" s="13" t="n">
        <v>3</v>
      </c>
      <c r="I1002" s="13" t="n">
        <v>2</v>
      </c>
      <c r="K1002" s="13" t="n">
        <v>3</v>
      </c>
      <c r="L1002" s="13" t="n">
        <v>1847530</v>
      </c>
      <c r="M1002" s="13" t="inlineStr">
        <is>
          <t>Ref: 00000142 | Evidence | https://massaruimoveis.com.br/imovel/00000142/</t>
        </is>
      </c>
      <c r="N1002" s="13" t="inlineStr">
        <is>
          <t>Novo</t>
        </is>
      </c>
      <c r="O1002" s="13" t="inlineStr"/>
    </row>
    <row r="1003">
      <c r="A1003" s="13" t="inlineStr">
        <is>
          <t>2026-06-28</t>
        </is>
      </c>
      <c r="B1003" s="13" t="inlineStr">
        <is>
          <t>massaruimoveis.com.br</t>
        </is>
      </c>
      <c r="C1003" s="13" t="inlineStr">
        <is>
          <t>Massaru Imóveis</t>
        </is>
      </c>
      <c r="D1003" s="13" t="inlineStr"/>
      <c r="E1003" s="13" t="inlineStr">
        <is>
          <t>Apartamento</t>
        </is>
      </c>
      <c r="F1003" s="13" t="inlineStr">
        <is>
          <t>Estrada Pitanga, Distrito de Iguatemi (Iguatemi)</t>
        </is>
      </c>
      <c r="G1003" s="13" t="n">
        <v>24200</v>
      </c>
      <c r="H1003" s="13" t="inlineStr"/>
      <c r="I1003" s="13" t="inlineStr"/>
      <c r="K1003" s="13" t="inlineStr"/>
      <c r="L1003" s="13" t="n">
        <v>1950000</v>
      </c>
      <c r="M1003" s="13" t="inlineStr">
        <is>
          <t>Ref: 00000048 | https://massaruimoveis.com.br/imovel/00000048/</t>
        </is>
      </c>
      <c r="N1003" s="13" t="inlineStr">
        <is>
          <t>Novo</t>
        </is>
      </c>
      <c r="O1003" s="13" t="inlineStr"/>
    </row>
    <row r="1004">
      <c r="A1004" s="13" t="inlineStr">
        <is>
          <t>2026-06-28</t>
        </is>
      </c>
      <c r="B1004" s="13" t="inlineStr">
        <is>
          <t>massaruimoveis.com.br</t>
        </is>
      </c>
      <c r="C1004" s="13" t="inlineStr">
        <is>
          <t>Massaru Imóveis</t>
        </is>
      </c>
      <c r="D1004" s="13" t="inlineStr"/>
      <c r="E1004" s="13" t="inlineStr">
        <is>
          <t>Apartamento</t>
        </is>
      </c>
      <c r="F1004" s="13" t="inlineStr">
        <is>
          <t>Estrada Araçá, 2777, Parque Industrial Bandeirantes</t>
        </is>
      </c>
      <c r="G1004" s="13" t="n">
        <v>1815</v>
      </c>
      <c r="H1004" s="13" t="inlineStr"/>
      <c r="I1004" s="13" t="inlineStr"/>
      <c r="K1004" s="13" t="inlineStr"/>
      <c r="L1004" s="13" t="n">
        <v>2100000</v>
      </c>
      <c r="M1004" s="13" t="inlineStr">
        <is>
          <t>Ref: 00000047 | https://massaruimoveis.com.br/imovel/00000047/</t>
        </is>
      </c>
      <c r="N1004" s="13" t="inlineStr">
        <is>
          <t>Novo</t>
        </is>
      </c>
      <c r="O1004" s="13" t="inlineStr"/>
    </row>
    <row r="1005">
      <c r="A1005" s="13" t="inlineStr">
        <is>
          <t>2026-06-28</t>
        </is>
      </c>
      <c r="B1005" s="13" t="inlineStr">
        <is>
          <t>massaruimoveis.com.br</t>
        </is>
      </c>
      <c r="C1005" s="13" t="inlineStr">
        <is>
          <t>Massaru Imóveis</t>
        </is>
      </c>
      <c r="D1005" s="13" t="inlineStr"/>
      <c r="E1005" s="13" t="inlineStr">
        <is>
          <t>Apartamento</t>
        </is>
      </c>
      <c r="F1005" s="13" t="inlineStr">
        <is>
          <t>Rua Kingston, 390, Jardim Canadá</t>
        </is>
      </c>
      <c r="G1005" s="13" t="n">
        <v>295.12</v>
      </c>
      <c r="H1005" s="13" t="n">
        <v>2</v>
      </c>
      <c r="I1005" s="13" t="n">
        <v>4</v>
      </c>
      <c r="K1005" s="13" t="n">
        <v>3</v>
      </c>
      <c r="L1005" s="13" t="n">
        <v>2100000</v>
      </c>
      <c r="M1005" s="13" t="inlineStr">
        <is>
          <t>Ref: 00000889 | https://massaruimoveis.com.br/imovel/00000889/</t>
        </is>
      </c>
      <c r="N1005" s="13" t="inlineStr">
        <is>
          <t>Novo</t>
        </is>
      </c>
      <c r="O1005" s="13" t="inlineStr"/>
    </row>
    <row r="1006">
      <c r="A1006" s="13" t="inlineStr">
        <is>
          <t>2026-06-28</t>
        </is>
      </c>
      <c r="B1006" s="13" t="inlineStr">
        <is>
          <t>massaruimoveis.com.br</t>
        </is>
      </c>
      <c r="C1006" s="13" t="inlineStr">
        <is>
          <t>Massaru Imóveis</t>
        </is>
      </c>
      <c r="D1006" s="13" t="inlineStr"/>
      <c r="E1006" s="13" t="inlineStr">
        <is>
          <t>Apartamento</t>
        </is>
      </c>
      <c r="F1006" s="13" t="inlineStr">
        <is>
          <t>Rua Arthur Thomas, 830, Zona 01 - Centro</t>
        </is>
      </c>
      <c r="G1006" s="13" t="n">
        <v>207.2</v>
      </c>
      <c r="H1006" s="13" t="n"/>
      <c r="I1006" s="13" t="n">
        <v>3</v>
      </c>
      <c r="K1006" s="13" t="n">
        <v>3</v>
      </c>
      <c r="L1006" s="13" t="n">
        <v>2200000</v>
      </c>
      <c r="M1006" s="13" t="inlineStr">
        <is>
          <t>Ref: 00000124 | Solarium Residence | https://massaruimoveis.com.br/imovel/00000124/</t>
        </is>
      </c>
      <c r="N1006" s="13" t="inlineStr">
        <is>
          <t>Novo</t>
        </is>
      </c>
      <c r="O1006" s="13" t="inlineStr"/>
    </row>
    <row r="1007">
      <c r="A1007" s="13" t="inlineStr">
        <is>
          <t>2026-06-28</t>
        </is>
      </c>
      <c r="B1007" s="13" t="inlineStr">
        <is>
          <t>massaruimoveis.com.br</t>
        </is>
      </c>
      <c r="C1007" s="13" t="inlineStr">
        <is>
          <t>Massaru Imóveis</t>
        </is>
      </c>
      <c r="D1007" s="13" t="inlineStr"/>
      <c r="E1007" s="13" t="inlineStr">
        <is>
          <t>Apartamento</t>
        </is>
      </c>
      <c r="F1007" s="13" t="inlineStr">
        <is>
          <t>Avenida Morangueira, 399, Zona 07</t>
        </is>
      </c>
      <c r="G1007" s="13" t="n">
        <v>330.29</v>
      </c>
      <c r="H1007" s="13" t="n">
        <v>6</v>
      </c>
      <c r="I1007" s="13" t="n">
        <v>3</v>
      </c>
      <c r="K1007" s="13" t="n">
        <v>9</v>
      </c>
      <c r="L1007" s="13" t="n">
        <v>2200000</v>
      </c>
      <c r="M1007" s="13" t="inlineStr">
        <is>
          <t>Ref: 00000366 | https://massaruimoveis.com.br/imovel/00000366/</t>
        </is>
      </c>
      <c r="N1007" s="13" t="inlineStr">
        <is>
          <t>Novo</t>
        </is>
      </c>
      <c r="O1007" s="13" t="inlineStr"/>
    </row>
    <row r="1008">
      <c r="A1008" s="13" t="inlineStr">
        <is>
          <t>2026-06-28</t>
        </is>
      </c>
      <c r="B1008" s="13" t="inlineStr">
        <is>
          <t>massaruimoveis.com.br</t>
        </is>
      </c>
      <c r="C1008" s="13" t="inlineStr">
        <is>
          <t>Massaru Imóveis</t>
        </is>
      </c>
      <c r="D1008" s="13" t="inlineStr"/>
      <c r="E1008" s="13" t="inlineStr">
        <is>
          <t>Apartamento</t>
        </is>
      </c>
      <c r="F1008" s="13" t="inlineStr">
        <is>
          <t>Avenida Itororó, 1300, Zona 02</t>
        </is>
      </c>
      <c r="G1008" s="13" t="n">
        <v>172</v>
      </c>
      <c r="H1008" s="13" t="n">
        <v>3</v>
      </c>
      <c r="I1008" s="13" t="n">
        <v>2</v>
      </c>
      <c r="K1008" s="13" t="n">
        <v>3</v>
      </c>
      <c r="L1008" s="13" t="n">
        <v>2303160</v>
      </c>
      <c r="M1008" s="13" t="inlineStr">
        <is>
          <t>Ref: 00000051 | Zetta Residence | https://massaruimoveis.com.br/imovel/00000051/</t>
        </is>
      </c>
      <c r="N1008" s="13" t="inlineStr">
        <is>
          <t>Novo</t>
        </is>
      </c>
      <c r="O1008" s="13" t="inlineStr"/>
    </row>
    <row r="1009">
      <c r="A1009" s="13" t="inlineStr">
        <is>
          <t>2026-06-28</t>
        </is>
      </c>
      <c r="B1009" s="13" t="inlineStr">
        <is>
          <t>massaruimoveis.com.br</t>
        </is>
      </c>
      <c r="C1009" s="13" t="inlineStr">
        <is>
          <t>Massaru Imóveis</t>
        </is>
      </c>
      <c r="D1009" s="13" t="inlineStr"/>
      <c r="E1009" s="13" t="inlineStr">
        <is>
          <t>Apartamento</t>
        </is>
      </c>
      <c r="F1009" s="13" t="inlineStr">
        <is>
          <t>Rua Marechal Floriano Peixoto, 1525, Zona 07</t>
        </is>
      </c>
      <c r="G1009" s="13" t="n">
        <v>176.7</v>
      </c>
      <c r="H1009" s="13" t="n">
        <v>3</v>
      </c>
      <c r="I1009" s="13" t="n">
        <v>2</v>
      </c>
      <c r="K1009" s="13" t="n">
        <v>4</v>
      </c>
      <c r="L1009" s="13" t="n">
        <v>2700000</v>
      </c>
      <c r="M1009" s="13" t="inlineStr">
        <is>
          <t>Ref: 00000017 | Gran London Ville Residencia | https://massaruimoveis.com.br/imovel/00000017/</t>
        </is>
      </c>
      <c r="N1009" s="13" t="inlineStr">
        <is>
          <t>Novo</t>
        </is>
      </c>
      <c r="O1009" s="13" t="inlineStr"/>
    </row>
    <row r="1010">
      <c r="A1010" s="13" t="inlineStr">
        <is>
          <t>2026-06-28</t>
        </is>
      </c>
      <c r="B1010" s="13" t="inlineStr">
        <is>
          <t>massaruimoveis.com.br</t>
        </is>
      </c>
      <c r="C1010" s="13" t="inlineStr">
        <is>
          <t>Massaru Imóveis</t>
        </is>
      </c>
      <c r="D1010" s="13" t="inlineStr"/>
      <c r="E1010" s="13" t="inlineStr">
        <is>
          <t>Apartamento</t>
        </is>
      </c>
      <c r="F1010" s="13" t="inlineStr">
        <is>
          <t>Avenida XV de Novembro, 1248, Zona 01 - Centro</t>
        </is>
      </c>
      <c r="G1010" s="13" t="n">
        <v>194.26</v>
      </c>
      <c r="H1010" s="13" t="n">
        <v>4</v>
      </c>
      <c r="I1010" s="13" t="n">
        <v>5</v>
      </c>
      <c r="K1010" s="13" t="n">
        <v>4</v>
      </c>
      <c r="L1010" s="13" t="n">
        <v>2800000</v>
      </c>
      <c r="M1010" s="13" t="inlineStr">
        <is>
          <t>Ref: 00001117 | La Residence | https://massaruimoveis.com.br/imovel/00001117/</t>
        </is>
      </c>
      <c r="N1010" s="13" t="inlineStr">
        <is>
          <t>Novo</t>
        </is>
      </c>
      <c r="O1010" s="13" t="inlineStr"/>
    </row>
    <row r="1011">
      <c r="A1011" s="13" t="inlineStr">
        <is>
          <t>2026-06-28</t>
        </is>
      </c>
      <c r="B1011" s="13" t="inlineStr">
        <is>
          <t>massaruimoveis.com.br</t>
        </is>
      </c>
      <c r="C1011" s="13" t="inlineStr">
        <is>
          <t>Massaru Imóveis</t>
        </is>
      </c>
      <c r="D1011" s="13" t="inlineStr"/>
      <c r="E1011" s="13" t="inlineStr">
        <is>
          <t>Apartamento</t>
        </is>
      </c>
      <c r="F1011" s="13" t="inlineStr">
        <is>
          <t>Estrada Zaúna, KM 04, Gleba Ribeirão Sarandi</t>
        </is>
      </c>
      <c r="G1011" s="13" t="n">
        <v>10800</v>
      </c>
      <c r="H1011" s="13" t="inlineStr"/>
      <c r="I1011" s="13" t="inlineStr"/>
      <c r="K1011" s="13" t="inlineStr"/>
      <c r="L1011" s="13" t="n">
        <v>2950000</v>
      </c>
      <c r="M1011" s="13" t="inlineStr">
        <is>
          <t>Ref: 00000091 | https://massaruimoveis.com.br/imovel/00000091/</t>
        </is>
      </c>
      <c r="N1011" s="13" t="inlineStr">
        <is>
          <t>Novo</t>
        </is>
      </c>
      <c r="O1011" s="13" t="inlineStr"/>
    </row>
    <row r="1012">
      <c r="A1012" s="13" t="inlineStr">
        <is>
          <t>2026-06-28</t>
        </is>
      </c>
      <c r="B1012" s="13" t="inlineStr">
        <is>
          <t>massaruimoveis.com.br</t>
        </is>
      </c>
      <c r="C1012" s="13" t="inlineStr">
        <is>
          <t>Massaru Imóveis</t>
        </is>
      </c>
      <c r="D1012" s="13" t="inlineStr"/>
      <c r="E1012" s="13" t="inlineStr">
        <is>
          <t>Apartamento</t>
        </is>
      </c>
      <c r="F1012" s="13" t="inlineStr">
        <is>
          <t>Estrada Romeira, Condominio Monet, Gleba Ribeirão Centenário</t>
        </is>
      </c>
      <c r="G1012" s="13" t="n">
        <v>299.3</v>
      </c>
      <c r="H1012" s="13" t="n">
        <v>4</v>
      </c>
      <c r="I1012" s="13" t="n">
        <v>6</v>
      </c>
      <c r="K1012" s="13" t="n">
        <v>4</v>
      </c>
      <c r="L1012" s="13" t="n">
        <v>3000000</v>
      </c>
      <c r="M1012" s="13" t="inlineStr">
        <is>
          <t>Ref: 00000503 | Jardins de Monet Thermas Residence | https://massaruimoveis.com.br/imovel/00000503/</t>
        </is>
      </c>
      <c r="N1012" s="13" t="inlineStr">
        <is>
          <t>Novo</t>
        </is>
      </c>
      <c r="O1012" s="13" t="inlineStr"/>
    </row>
    <row r="1013">
      <c r="A1013" s="13" t="inlineStr">
        <is>
          <t>2026-06-28</t>
        </is>
      </c>
      <c r="B1013" s="13" t="inlineStr">
        <is>
          <t>massaruimoveis.com.br</t>
        </is>
      </c>
      <c r="C1013" s="13" t="inlineStr">
        <is>
          <t>Massaru Imóveis</t>
        </is>
      </c>
      <c r="D1013" s="13" t="inlineStr"/>
      <c r="E1013" s="13" t="inlineStr">
        <is>
          <t>Apartamento</t>
        </is>
      </c>
      <c r="F1013" s="13" t="inlineStr">
        <is>
          <t>Praça São Vicente, 146, Jardim Alvorada</t>
        </is>
      </c>
      <c r="G1013" s="13" t="n">
        <v>552.0700000000001</v>
      </c>
      <c r="H1013" s="13" t="n">
        <v>15</v>
      </c>
      <c r="I1013" s="13" t="n">
        <v>15</v>
      </c>
      <c r="K1013" s="13" t="n">
        <v>10</v>
      </c>
      <c r="L1013" s="13" t="n">
        <v>3300000</v>
      </c>
      <c r="M1013" s="13" t="inlineStr">
        <is>
          <t>Ref: 00000566 | https://massaruimoveis.com.br/imovel/00000566/</t>
        </is>
      </c>
      <c r="N1013" s="13" t="inlineStr">
        <is>
          <t>Novo</t>
        </is>
      </c>
      <c r="O1013" s="13" t="inlineStr"/>
    </row>
    <row r="1014">
      <c r="A1014" s="13" t="inlineStr">
        <is>
          <t>2026-06-28</t>
        </is>
      </c>
      <c r="B1014" s="13" t="inlineStr">
        <is>
          <t>massaruimoveis.com.br</t>
        </is>
      </c>
      <c r="C1014" s="13" t="inlineStr">
        <is>
          <t>Massaru Imóveis</t>
        </is>
      </c>
      <c r="D1014" s="13" t="inlineStr"/>
      <c r="E1014" s="13" t="inlineStr">
        <is>
          <t>Apartamento</t>
        </is>
      </c>
      <c r="F1014" s="13" t="inlineStr">
        <is>
          <t>Avenida Duque de Caxias, 65, Zona 01 - Centro</t>
        </is>
      </c>
      <c r="G1014" s="13" t="n">
        <v>303</v>
      </c>
      <c r="H1014" s="13" t="n">
        <v>4</v>
      </c>
      <c r="I1014" s="13" t="n">
        <v>2</v>
      </c>
      <c r="K1014" s="13" t="n">
        <v>4</v>
      </c>
      <c r="L1014" s="13" t="n">
        <v>3360000</v>
      </c>
      <c r="M1014" s="13" t="inlineStr">
        <is>
          <t>Ref: 00000842 | Palazzo Ducale | https://massaruimoveis.com.br/imovel/00000842/</t>
        </is>
      </c>
      <c r="N1014" s="13" t="inlineStr">
        <is>
          <t>Novo</t>
        </is>
      </c>
      <c r="O1014" s="13" t="inlineStr"/>
    </row>
    <row r="1015">
      <c r="A1015" s="13" t="inlineStr">
        <is>
          <t>2026-06-28</t>
        </is>
      </c>
      <c r="B1015" s="13" t="inlineStr">
        <is>
          <t>massaruimoveis.com.br</t>
        </is>
      </c>
      <c r="C1015" s="13" t="inlineStr">
        <is>
          <t>Massaru Imóveis</t>
        </is>
      </c>
      <c r="D1015" s="13" t="inlineStr"/>
      <c r="E1015" s="13" t="inlineStr">
        <is>
          <t>Apartamento</t>
        </is>
      </c>
      <c r="F1015" s="13" t="inlineStr">
        <is>
          <t>Avenida Antônio Santiago Gualda, Distrito de Floriano (Floriano)</t>
        </is>
      </c>
      <c r="G1015" s="13" t="n">
        <v>20000</v>
      </c>
      <c r="H1015" s="13" t="inlineStr"/>
      <c r="I1015" s="13" t="inlineStr"/>
      <c r="K1015" s="13" t="inlineStr"/>
      <c r="L1015" s="13" t="n">
        <v>4450000</v>
      </c>
      <c r="M1015" s="13" t="inlineStr">
        <is>
          <t>Ref: 00000977 | https://massaruimoveis.com.br/imovel/00000977/</t>
        </is>
      </c>
      <c r="N1015" s="13" t="inlineStr">
        <is>
          <t>Novo</t>
        </is>
      </c>
      <c r="O1015" s="13" t="inlineStr"/>
    </row>
    <row r="1016">
      <c r="A1016" s="13" t="inlineStr">
        <is>
          <t>2026-06-28</t>
        </is>
      </c>
      <c r="B1016" s="13" t="inlineStr">
        <is>
          <t>massaruimoveis.com.br</t>
        </is>
      </c>
      <c r="C1016" s="13" t="inlineStr">
        <is>
          <t>Massaru Imóveis</t>
        </is>
      </c>
      <c r="D1016" s="13" t="inlineStr"/>
      <c r="E1016" s="13" t="inlineStr">
        <is>
          <t>Apartamento</t>
        </is>
      </c>
      <c r="F1016" s="13" t="inlineStr">
        <is>
          <t>Estrada Romeira, Condominio Monet, Gleba Ribeirão Centenário</t>
        </is>
      </c>
      <c r="G1016" s="13" t="n">
        <v>525.54</v>
      </c>
      <c r="H1016" s="13" t="n">
        <v>4</v>
      </c>
      <c r="I1016" s="13" t="n">
        <v>6</v>
      </c>
      <c r="K1016" s="13" t="n">
        <v>4</v>
      </c>
      <c r="L1016" s="13" t="n">
        <v>5900000</v>
      </c>
      <c r="M1016" s="13" t="inlineStr">
        <is>
          <t>Ref: 00000502 | Jardins de Monet Thermas Residence | https://massaruimoveis.com.br/imovel/00000502/</t>
        </is>
      </c>
      <c r="N1016" s="13" t="inlineStr">
        <is>
          <t>Novo</t>
        </is>
      </c>
      <c r="O1016" s="13" t="inlineStr"/>
    </row>
    <row r="1017">
      <c r="A1017" s="13" t="inlineStr">
        <is>
          <t>2026-06-28</t>
        </is>
      </c>
      <c r="B1017" s="13" t="inlineStr">
        <is>
          <t>massaruimoveis.com.br</t>
        </is>
      </c>
      <c r="C1017" s="13" t="inlineStr">
        <is>
          <t>Massaru Imóveis</t>
        </is>
      </c>
      <c r="D1017" s="13" t="inlineStr"/>
      <c r="E1017" s="13" t="inlineStr">
        <is>
          <t>Apartamento</t>
        </is>
      </c>
      <c r="F1017" s="13" t="inlineStr">
        <is>
          <t>Avenida Presidente Juscelino Kubitschek, Zona 02</t>
        </is>
      </c>
      <c r="G1017" s="13" t="n">
        <v>302.49</v>
      </c>
      <c r="H1017" s="13" t="n">
        <v>4</v>
      </c>
      <c r="I1017" s="13" t="n">
        <v>3</v>
      </c>
      <c r="K1017" s="13" t="n">
        <v>4</v>
      </c>
      <c r="L1017" s="13" t="n">
        <v>6915365</v>
      </c>
      <c r="M1017" s="13" t="inlineStr">
        <is>
          <t>Ref: 00000079 | Solaia Exclusive Residences | https://massaruimoveis.com.br/imovel/00000079/</t>
        </is>
      </c>
      <c r="N1017" s="13" t="inlineStr">
        <is>
          <t>Novo</t>
        </is>
      </c>
      <c r="O1017" s="13" t="inlineStr"/>
    </row>
    <row r="1018">
      <c r="A1018" s="13" t="inlineStr">
        <is>
          <t>2026-06-28</t>
        </is>
      </c>
      <c r="B1018" s="13" t="inlineStr">
        <is>
          <t>bellakaza.com.br</t>
        </is>
      </c>
      <c r="C1018" s="13" t="inlineStr">
        <is>
          <t>Bellakaza Negócios Imobiliários</t>
        </is>
      </c>
      <c r="D1018" s="13" t="inlineStr"/>
      <c r="E1018" s="13" t="inlineStr">
        <is>
          <t>Imóvel</t>
        </is>
      </c>
      <c r="F1018" s="13" t="inlineStr">
        <is>
          <t>Rua Campos Sales, 91, Zona 07</t>
        </is>
      </c>
      <c r="G1018" s="13" t="n">
        <v>52.14</v>
      </c>
      <c r="H1018" s="13" t="n"/>
      <c r="I1018" s="13" t="n">
        <v>1</v>
      </c>
      <c r="K1018" s="13" t="n">
        <v>1</v>
      </c>
      <c r="L1018" s="13" t="n">
        <v>270000</v>
      </c>
      <c r="M1018" s="13" t="inlineStr">
        <is>
          <t>Ref: 00000754 | Buriti | https://bellakaza.com.br/imovel/00000754/</t>
        </is>
      </c>
      <c r="N1018" s="13" t="inlineStr">
        <is>
          <t>Novo</t>
        </is>
      </c>
      <c r="O1018" s="13" t="inlineStr"/>
    </row>
    <row r="1019">
      <c r="A1019" s="13" t="inlineStr">
        <is>
          <t>2026-06-28</t>
        </is>
      </c>
      <c r="B1019" s="13" t="inlineStr">
        <is>
          <t>bellakaza.com.br</t>
        </is>
      </c>
      <c r="C1019" s="13" t="inlineStr">
        <is>
          <t>Bellakaza Negócios Imobiliários</t>
        </is>
      </c>
      <c r="D1019" s="13" t="inlineStr"/>
      <c r="E1019" s="13" t="inlineStr">
        <is>
          <t>Imóvel</t>
        </is>
      </c>
      <c r="F1019" s="13" t="inlineStr">
        <is>
          <t>Rua Maria Roque da Silva, 705, Jardim do Carmo</t>
        </is>
      </c>
      <c r="G1019" s="13" t="n">
        <v>364.86</v>
      </c>
      <c r="H1019" s="13" t="inlineStr"/>
      <c r="I1019" s="13" t="inlineStr"/>
      <c r="K1019" s="13" t="inlineStr"/>
      <c r="L1019" s="13" t="n">
        <v>350000</v>
      </c>
      <c r="M1019" s="13" t="inlineStr">
        <is>
          <t>Ref: 00000268 | https://bellakaza.com.br/imovel/00000268/</t>
        </is>
      </c>
      <c r="N1019" s="13" t="inlineStr">
        <is>
          <t>Novo</t>
        </is>
      </c>
      <c r="O1019" s="13" t="inlineStr"/>
    </row>
    <row r="1020">
      <c r="A1020" s="13" t="inlineStr">
        <is>
          <t>2026-06-28</t>
        </is>
      </c>
      <c r="B1020" s="13" t="inlineStr">
        <is>
          <t>bellakaza.com.br</t>
        </is>
      </c>
      <c r="C1020" s="13" t="inlineStr">
        <is>
          <t>Bellakaza Negócios Imobiliários</t>
        </is>
      </c>
      <c r="D1020" s="13" t="inlineStr"/>
      <c r="E1020" s="13" t="inlineStr">
        <is>
          <t>Imóvel</t>
        </is>
      </c>
      <c r="F1020" s="13" t="inlineStr">
        <is>
          <t>Rua Catuaba, 54, Jardim Vitória</t>
        </is>
      </c>
      <c r="G1020" s="13" t="n">
        <v>188.67</v>
      </c>
      <c r="H1020" s="13" t="n">
        <v>3</v>
      </c>
      <c r="I1020" s="13" t="n">
        <v>1</v>
      </c>
      <c r="K1020" s="13" t="n">
        <v>5</v>
      </c>
      <c r="L1020" s="13" t="n">
        <v>350000</v>
      </c>
      <c r="M1020" s="13" t="inlineStr">
        <is>
          <t>Ref: 00000626 | https://bellakaza.com.br/imovel/00000626/</t>
        </is>
      </c>
      <c r="N1020" s="13" t="inlineStr">
        <is>
          <t>Novo</t>
        </is>
      </c>
      <c r="O1020" s="13" t="inlineStr"/>
    </row>
    <row r="1021">
      <c r="A1021" s="13" t="inlineStr">
        <is>
          <t>2026-06-28</t>
        </is>
      </c>
      <c r="B1021" s="13" t="inlineStr">
        <is>
          <t>bellakaza.com.br</t>
        </is>
      </c>
      <c r="C1021" s="13" t="inlineStr">
        <is>
          <t>Bellakaza Negócios Imobiliários</t>
        </is>
      </c>
      <c r="D1021" s="13" t="inlineStr"/>
      <c r="E1021" s="13" t="inlineStr">
        <is>
          <t>Imóvel</t>
        </is>
      </c>
      <c r="F1021" s="13" t="inlineStr">
        <is>
          <t>Rua Catulo Cearense, 481, Zona 05</t>
        </is>
      </c>
      <c r="G1021" s="13" t="n">
        <v>70.2</v>
      </c>
      <c r="H1021" s="13" t="n">
        <v>4</v>
      </c>
      <c r="I1021" s="13" t="n">
        <v>1</v>
      </c>
      <c r="K1021" s="13" t="n">
        <v>1</v>
      </c>
      <c r="L1021" s="13" t="n">
        <v>380000</v>
      </c>
      <c r="M1021" s="13" t="inlineStr">
        <is>
          <t>Ref: 00000532 | https://bellakaza.com.br/imovel/00000532/</t>
        </is>
      </c>
      <c r="N1021" s="13" t="inlineStr">
        <is>
          <t>Novo</t>
        </is>
      </c>
      <c r="O1021" s="13" t="inlineStr"/>
    </row>
    <row r="1022">
      <c r="A1022" s="13" t="inlineStr">
        <is>
          <t>2026-06-28</t>
        </is>
      </c>
      <c r="B1022" s="13" t="inlineStr">
        <is>
          <t>bellakaza.com.br</t>
        </is>
      </c>
      <c r="C1022" s="13" t="inlineStr">
        <is>
          <t>Bellakaza Negócios Imobiliários</t>
        </is>
      </c>
      <c r="D1022" s="13" t="inlineStr"/>
      <c r="E1022" s="13" t="inlineStr">
        <is>
          <t>Imóvel</t>
        </is>
      </c>
      <c r="F1022" s="13" t="inlineStr">
        <is>
          <t>Rua Pioneiro Nestor Ponciano, 810, Jardim Montreal</t>
        </is>
      </c>
      <c r="G1022" s="13" t="n">
        <v>122.03</v>
      </c>
      <c r="H1022" s="13" t="n">
        <v>1</v>
      </c>
      <c r="I1022" s="13" t="n">
        <v>2</v>
      </c>
      <c r="K1022" s="13" t="n">
        <v>1</v>
      </c>
      <c r="L1022" s="13" t="n">
        <v>390000</v>
      </c>
      <c r="M1022" s="13" t="inlineStr">
        <is>
          <t>Ref: 00000625 | https://bellakaza.com.br/imovel/00000625/</t>
        </is>
      </c>
      <c r="N1022" s="13" t="inlineStr">
        <is>
          <t>Novo</t>
        </is>
      </c>
      <c r="O1022" s="13" t="inlineStr"/>
    </row>
    <row r="1023">
      <c r="A1023" s="13" t="inlineStr">
        <is>
          <t>2026-06-28</t>
        </is>
      </c>
      <c r="B1023" s="13" t="inlineStr">
        <is>
          <t>bellakaza.com.br</t>
        </is>
      </c>
      <c r="C1023" s="13" t="inlineStr">
        <is>
          <t>Bellakaza Negócios Imobiliários</t>
        </is>
      </c>
      <c r="D1023" s="13" t="inlineStr"/>
      <c r="E1023" s="13" t="inlineStr">
        <is>
          <t>Imóvel</t>
        </is>
      </c>
      <c r="F1023" s="13" t="inlineStr">
        <is>
          <t>Rua Pioneiro Noriyaso Ishikawa, 1801, Jardim Iguaçu</t>
        </is>
      </c>
      <c r="G1023" s="13" t="n">
        <v>122</v>
      </c>
      <c r="H1023" s="13" t="n">
        <v>1</v>
      </c>
      <c r="I1023" s="13" t="n">
        <v>2</v>
      </c>
      <c r="K1023" s="13" t="n">
        <v>2</v>
      </c>
      <c r="L1023" s="13" t="n">
        <v>565000</v>
      </c>
      <c r="M1023" s="13" t="inlineStr">
        <is>
          <t>Ref: 00000266 | https://bellakaza.com.br/imovel/00000266/</t>
        </is>
      </c>
      <c r="N1023" s="13" t="inlineStr">
        <is>
          <t>Novo</t>
        </is>
      </c>
      <c r="O1023" s="13" t="inlineStr"/>
    </row>
    <row r="1024">
      <c r="A1024" s="13" t="inlineStr">
        <is>
          <t>2026-06-28</t>
        </is>
      </c>
      <c r="B1024" s="13" t="inlineStr">
        <is>
          <t>bellakaza.com.br</t>
        </is>
      </c>
      <c r="C1024" s="13" t="inlineStr">
        <is>
          <t>Bellakaza Negócios Imobiliários</t>
        </is>
      </c>
      <c r="D1024" s="13" t="inlineStr"/>
      <c r="E1024" s="13" t="inlineStr">
        <is>
          <t>Chácara</t>
        </is>
      </c>
      <c r="F1024" s="13" t="inlineStr">
        <is>
          <t>Rua Assaí, 767, Chácara Paulista</t>
        </is>
      </c>
      <c r="G1024" s="13" t="n">
        <v>143.53</v>
      </c>
      <c r="H1024" s="13" t="n">
        <v>1</v>
      </c>
      <c r="I1024" s="13" t="n">
        <v>4</v>
      </c>
      <c r="K1024" s="13" t="n">
        <v>2</v>
      </c>
      <c r="L1024" s="13" t="n">
        <v>670000</v>
      </c>
      <c r="M1024" s="13" t="inlineStr">
        <is>
          <t>Ref: 00000393 | https://bellakaza.com.br/imovel/00000393/</t>
        </is>
      </c>
      <c r="N1024" s="13" t="inlineStr">
        <is>
          <t>Novo</t>
        </is>
      </c>
      <c r="O1024" s="13" t="inlineStr"/>
    </row>
    <row r="1025">
      <c r="A1025" s="13" t="inlineStr">
        <is>
          <t>2026-06-28</t>
        </is>
      </c>
      <c r="B1025" s="13" t="inlineStr">
        <is>
          <t>bellakaza.com.br</t>
        </is>
      </c>
      <c r="C1025" s="13" t="inlineStr">
        <is>
          <t>Bellakaza Negócios Imobiliários</t>
        </is>
      </c>
      <c r="D1025" s="13" t="inlineStr"/>
      <c r="E1025" s="13" t="inlineStr">
        <is>
          <t>Imóvel</t>
        </is>
      </c>
      <c r="F1025" s="13" t="inlineStr">
        <is>
          <t>Rua Monte Cáceros, 527, Zona 03</t>
        </is>
      </c>
      <c r="G1025" s="13" t="n">
        <v>82</v>
      </c>
      <c r="H1025" s="13" t="n"/>
      <c r="I1025" s="13" t="n">
        <v>1</v>
      </c>
      <c r="K1025" s="13" t="n">
        <v>2</v>
      </c>
      <c r="L1025" s="13" t="n">
        <v>795000</v>
      </c>
      <c r="M1025" s="13" t="inlineStr">
        <is>
          <t>Ref: 00000710 | Torre do Parque | https://bellakaza.com.br/imovel/00000710/</t>
        </is>
      </c>
      <c r="N1025" s="13" t="inlineStr">
        <is>
          <t>Novo</t>
        </is>
      </c>
      <c r="O1025" s="13" t="inlineStr"/>
    </row>
    <row r="1026">
      <c r="A1026" s="13" t="inlineStr">
        <is>
          <t>2026-06-28</t>
        </is>
      </c>
      <c r="B1026" s="13" t="inlineStr">
        <is>
          <t>bellakaza.com.br</t>
        </is>
      </c>
      <c r="C1026" s="13" t="inlineStr">
        <is>
          <t>Bellakaza Negócios Imobiliários</t>
        </is>
      </c>
      <c r="D1026" s="13" t="inlineStr"/>
      <c r="E1026" s="13" t="inlineStr">
        <is>
          <t>Imóvel</t>
        </is>
      </c>
      <c r="F1026" s="13" t="inlineStr">
        <is>
          <t>Rua Jair do Couto Costa, 340, Recanto dos Magnatas</t>
        </is>
      </c>
      <c r="G1026" s="13" t="n">
        <v>172.46</v>
      </c>
      <c r="H1026" s="13" t="n">
        <v>16</v>
      </c>
      <c r="I1026" s="13" t="n">
        <v>1</v>
      </c>
      <c r="K1026" s="13" t="n">
        <v>4</v>
      </c>
      <c r="L1026" s="13" t="n">
        <v>890000</v>
      </c>
      <c r="M1026" s="13" t="inlineStr">
        <is>
          <t>Ref: 00000782 | https://bellakaza.com.br/imovel/00000782/</t>
        </is>
      </c>
      <c r="N1026" s="13" t="inlineStr">
        <is>
          <t>Novo</t>
        </is>
      </c>
      <c r="O1026" s="13" t="inlineStr"/>
    </row>
    <row r="1027">
      <c r="A1027" s="13" t="inlineStr">
        <is>
          <t>2026-06-28</t>
        </is>
      </c>
      <c r="B1027" s="13" t="inlineStr">
        <is>
          <t>bellakaza.com.br</t>
        </is>
      </c>
      <c r="C1027" s="13" t="inlineStr">
        <is>
          <t>Bellakaza Negócios Imobiliários</t>
        </is>
      </c>
      <c r="D1027" s="13" t="inlineStr"/>
      <c r="E1027" s="13" t="inlineStr">
        <is>
          <t>Imóvel</t>
        </is>
      </c>
      <c r="F1027" s="13" t="inlineStr">
        <is>
          <t>Rua Quintino Bocaiúva, 53, Zona 07</t>
        </is>
      </c>
      <c r="G1027" s="13" t="n">
        <v>565.1</v>
      </c>
      <c r="H1027" s="13" t="inlineStr"/>
      <c r="I1027" s="13" t="inlineStr"/>
      <c r="K1027" s="13" t="inlineStr"/>
      <c r="L1027" s="13" t="n">
        <v>1300000</v>
      </c>
      <c r="M1027" s="13" t="inlineStr">
        <is>
          <t>Ref: 00000733 | https://bellakaza.com.br/imovel/00000733/</t>
        </is>
      </c>
      <c r="N1027" s="13" t="inlineStr">
        <is>
          <t>Novo</t>
        </is>
      </c>
      <c r="O1027" s="13" t="inlineStr"/>
    </row>
    <row r="1028">
      <c r="A1028" s="13" t="inlineStr">
        <is>
          <t>2026-06-28</t>
        </is>
      </c>
      <c r="B1028" s="13" t="inlineStr">
        <is>
          <t>bellakaza.com.br</t>
        </is>
      </c>
      <c r="C1028" s="13" t="inlineStr">
        <is>
          <t>Bellakaza Negócios Imobiliários</t>
        </is>
      </c>
      <c r="D1028" s="13" t="inlineStr"/>
      <c r="E1028" s="13" t="inlineStr">
        <is>
          <t>Imóvel</t>
        </is>
      </c>
      <c r="F1028" s="13" t="inlineStr">
        <is>
          <t>Rua Graciosa, 222, Jardim Guaporé</t>
        </is>
      </c>
      <c r="G1028" s="13" t="n">
        <v>278.39</v>
      </c>
      <c r="H1028" s="13" t="n">
        <v>2</v>
      </c>
      <c r="I1028" s="13" t="n">
        <v>4</v>
      </c>
      <c r="K1028" s="13" t="n">
        <v>2</v>
      </c>
      <c r="L1028" s="13" t="n">
        <v>1350000</v>
      </c>
      <c r="M1028" s="13" t="inlineStr">
        <is>
          <t>Ref: 00000736 | https://bellakaza.com.br/imovel/00000736/</t>
        </is>
      </c>
      <c r="N1028" s="13" t="inlineStr">
        <is>
          <t>Novo</t>
        </is>
      </c>
      <c r="O1028" s="13" t="inlineStr"/>
    </row>
    <row r="1029">
      <c r="A1029" s="13" t="inlineStr">
        <is>
          <t>2026-06-28</t>
        </is>
      </c>
      <c r="B1029" s="13" t="inlineStr">
        <is>
          <t>bellakaza.com.br</t>
        </is>
      </c>
      <c r="C1029" s="13" t="inlineStr">
        <is>
          <t>Bellakaza Negócios Imobiliários</t>
        </is>
      </c>
      <c r="D1029" s="13" t="inlineStr"/>
      <c r="E1029" s="13" t="inlineStr">
        <is>
          <t>Imóvel</t>
        </is>
      </c>
      <c r="F1029" s="13" t="inlineStr">
        <is>
          <t>Rua Pioneiro Ã‚ngelo Bertoni, 927, Recanto dos Magnatas</t>
        </is>
      </c>
      <c r="G1029" s="13" t="n">
        <v>335.4</v>
      </c>
      <c r="H1029" s="13" t="n">
        <v>3</v>
      </c>
      <c r="I1029" s="13" t="n">
        <v>5</v>
      </c>
      <c r="K1029" s="13" t="n">
        <v>4</v>
      </c>
      <c r="L1029" s="13" t="n">
        <v>1598000</v>
      </c>
      <c r="M1029" s="13" t="inlineStr">
        <is>
          <t>Ref: 00000729 | https://bellakaza.com.br/imovel/00000729/</t>
        </is>
      </c>
      <c r="N1029" s="13" t="inlineStr">
        <is>
          <t>Novo</t>
        </is>
      </c>
      <c r="O1029" s="13" t="inlineStr"/>
    </row>
    <row r="1030">
      <c r="A1030" s="13" t="inlineStr">
        <is>
          <t>2026-06-28</t>
        </is>
      </c>
      <c r="B1030" s="13" t="inlineStr">
        <is>
          <t>bellakaza.com.br</t>
        </is>
      </c>
      <c r="C1030" s="13" t="inlineStr">
        <is>
          <t>Bellakaza Negócios Imobiliários</t>
        </is>
      </c>
      <c r="D1030" s="13" t="inlineStr"/>
      <c r="E1030" s="13" t="inlineStr">
        <is>
          <t>Imóvel</t>
        </is>
      </c>
      <c r="F1030" s="13" t="inlineStr">
        <is>
          <t>Avenida Laguna, 1682, Zona 03</t>
        </is>
      </c>
      <c r="G1030" s="13" t="n">
        <v>700</v>
      </c>
      <c r="H1030" s="13" t="inlineStr"/>
      <c r="I1030" s="13" t="inlineStr"/>
      <c r="K1030" s="13" t="inlineStr"/>
      <c r="L1030" s="13" t="n">
        <v>2400000</v>
      </c>
      <c r="M1030" s="13" t="inlineStr">
        <is>
          <t>Ref: 00000734 | https://bellakaza.com.br/imovel/00000734/</t>
        </is>
      </c>
      <c r="N1030" s="13" t="inlineStr">
        <is>
          <t>Novo</t>
        </is>
      </c>
      <c r="O1030" s="13" t="inlineStr"/>
    </row>
    <row r="1031">
      <c r="A1031" s="13" t="inlineStr">
        <is>
          <t>2026-06-28</t>
        </is>
      </c>
      <c r="B1031" s="13" t="inlineStr">
        <is>
          <t>bellakaza.com.br</t>
        </is>
      </c>
      <c r="C1031" s="13" t="inlineStr">
        <is>
          <t>Bellakaza Negócios Imobiliários</t>
        </is>
      </c>
      <c r="D1031" s="13" t="inlineStr"/>
      <c r="E1031" s="13" t="inlineStr">
        <is>
          <t>Imóvel</t>
        </is>
      </c>
      <c r="F1031" s="13" t="inlineStr">
        <is>
          <t>Rua Queroquero, 239B, Jardim Olímpico</t>
        </is>
      </c>
      <c r="G1031" s="13" t="n">
        <v>60.79</v>
      </c>
      <c r="H1031" s="13" t="n">
        <v>2</v>
      </c>
      <c r="I1031" s="13" t="n">
        <v>1</v>
      </c>
      <c r="K1031" s="13" t="n">
        <v>1</v>
      </c>
      <c r="L1031" s="13" t="n">
        <v>190000</v>
      </c>
      <c r="M1031" s="13" t="inlineStr">
        <is>
          <t>Ref: 00000511 | https://bellakaza.com.br/imovel/00000511/</t>
        </is>
      </c>
      <c r="N1031" s="13" t="inlineStr">
        <is>
          <t>Novo</t>
        </is>
      </c>
      <c r="O1031" s="13" t="inlineStr"/>
    </row>
    <row r="1032">
      <c r="A1032" s="13" t="inlineStr">
        <is>
          <t>2026-06-28</t>
        </is>
      </c>
      <c r="B1032" s="13" t="inlineStr">
        <is>
          <t>bellakaza.com.br</t>
        </is>
      </c>
      <c r="C1032" s="13" t="inlineStr">
        <is>
          <t>Bellakaza Negócios Imobiliários</t>
        </is>
      </c>
      <c r="D1032" s="13" t="inlineStr"/>
      <c r="E1032" s="13" t="inlineStr">
        <is>
          <t>Imóvel</t>
        </is>
      </c>
      <c r="F1032" s="13" t="inlineStr">
        <is>
          <t>Rodovia Pr317, 5, Parque Industrial</t>
        </is>
      </c>
      <c r="G1032" s="13" t="n">
        <v>36.48</v>
      </c>
      <c r="H1032" s="13" t="n">
        <v>1</v>
      </c>
      <c r="I1032" s="13" t="inlineStr"/>
      <c r="K1032" s="13" t="inlineStr"/>
      <c r="L1032" s="13" t="n">
        <v>260000</v>
      </c>
      <c r="M1032" s="13" t="inlineStr">
        <is>
          <t>Ref: 00000050 | https://bellakaza.com.br/imovel/00000050/</t>
        </is>
      </c>
      <c r="N1032" s="13" t="inlineStr">
        <is>
          <t>Novo</t>
        </is>
      </c>
      <c r="O1032" s="13" t="inlineStr"/>
    </row>
    <row r="1033">
      <c r="A1033" s="13" t="inlineStr">
        <is>
          <t>2026-06-28</t>
        </is>
      </c>
      <c r="B1033" s="13" t="inlineStr">
        <is>
          <t>bellakaza.com.br</t>
        </is>
      </c>
      <c r="C1033" s="13" t="inlineStr">
        <is>
          <t>Bellakaza Negócios Imobiliários</t>
        </is>
      </c>
      <c r="D1033" s="13" t="inlineStr"/>
      <c r="E1033" s="13" t="inlineStr">
        <is>
          <t>Imóvel</t>
        </is>
      </c>
      <c r="F1033" s="13" t="inlineStr">
        <is>
          <t>Rua das Sibipirunas, 1054, Conjunto Hab Inocente Vila Nova Júnior</t>
        </is>
      </c>
      <c r="G1033" s="13" t="n">
        <v>93.59999999999999</v>
      </c>
      <c r="H1033" s="13" t="n">
        <v>4</v>
      </c>
      <c r="I1033" s="13" t="n">
        <v>1</v>
      </c>
      <c r="K1033" s="13" t="n">
        <v>3</v>
      </c>
      <c r="L1033" s="13" t="n">
        <v>290000</v>
      </c>
      <c r="M1033" s="13" t="inlineStr">
        <is>
          <t>Ref: 00000215 | https://bellakaza.com.br/imovel/00000215/</t>
        </is>
      </c>
      <c r="N1033" s="13" t="inlineStr">
        <is>
          <t>Novo</t>
        </is>
      </c>
      <c r="O1033" s="13" t="inlineStr"/>
    </row>
    <row r="1034">
      <c r="A1034" s="13" t="inlineStr">
        <is>
          <t>2026-06-28</t>
        </is>
      </c>
      <c r="B1034" s="13" t="inlineStr">
        <is>
          <t>bellakaza.com.br</t>
        </is>
      </c>
      <c r="C1034" s="13" t="inlineStr">
        <is>
          <t>Bellakaza Negócios Imobiliários</t>
        </is>
      </c>
      <c r="D1034" s="13" t="inlineStr"/>
      <c r="E1034" s="13" t="inlineStr">
        <is>
          <t>Imóvel</t>
        </is>
      </c>
      <c r="F1034" s="13" t="inlineStr">
        <is>
          <t>Rua Angelina Maria da Silva, 814A, Jardim São Clemente</t>
        </is>
      </c>
      <c r="G1034" s="13" t="n">
        <v>55.5</v>
      </c>
      <c r="H1034" s="13" t="n">
        <v>2</v>
      </c>
      <c r="I1034" s="13" t="n">
        <v>1</v>
      </c>
      <c r="K1034" s="13" t="n">
        <v>1</v>
      </c>
      <c r="L1034" s="13" t="n">
        <v>290000</v>
      </c>
      <c r="M1034" s="13" t="inlineStr">
        <is>
          <t>Ref: 00000523 | https://bellakaza.com.br/imovel/00000523/</t>
        </is>
      </c>
      <c r="N1034" s="13" t="inlineStr">
        <is>
          <t>Novo</t>
        </is>
      </c>
      <c r="O1034" s="13" t="inlineStr"/>
    </row>
    <row r="1035">
      <c r="A1035" s="13" t="inlineStr">
        <is>
          <t>2026-06-28</t>
        </is>
      </c>
      <c r="B1035" s="13" t="inlineStr">
        <is>
          <t>bellakaza.com.br</t>
        </is>
      </c>
      <c r="C1035" s="13" t="inlineStr">
        <is>
          <t>Bellakaza Negócios Imobiliários</t>
        </is>
      </c>
      <c r="D1035" s="13" t="inlineStr"/>
      <c r="E1035" s="13" t="inlineStr">
        <is>
          <t>Imóvel</t>
        </is>
      </c>
      <c r="F1035" s="13" t="inlineStr">
        <is>
          <t>Avenida Francisco Sebrian Madrid, 872, Loteamento Madrid</t>
        </is>
      </c>
      <c r="G1035" s="13" t="n">
        <v>80</v>
      </c>
      <c r="H1035" s="13" t="n">
        <v>3</v>
      </c>
      <c r="I1035" s="13" t="n">
        <v>1</v>
      </c>
      <c r="K1035" s="13" t="inlineStr"/>
      <c r="L1035" s="13" t="n">
        <v>295000</v>
      </c>
      <c r="M1035" s="13" t="inlineStr">
        <is>
          <t>Ref: 00000102 | https://bellakaza.com.br/imovel/00000102/</t>
        </is>
      </c>
      <c r="N1035" s="13" t="inlineStr">
        <is>
          <t>Novo</t>
        </is>
      </c>
      <c r="O1035" s="13" t="inlineStr"/>
    </row>
    <row r="1036">
      <c r="A1036" s="13" t="inlineStr">
        <is>
          <t>2026-06-28</t>
        </is>
      </c>
      <c r="B1036" s="13" t="inlineStr">
        <is>
          <t>bellakaza.com.br</t>
        </is>
      </c>
      <c r="C1036" s="13" t="inlineStr">
        <is>
          <t>Bellakaza Negócios Imobiliários</t>
        </is>
      </c>
      <c r="D1036" s="13" t="inlineStr"/>
      <c r="E1036" s="13" t="inlineStr">
        <is>
          <t>Imóvel</t>
        </is>
      </c>
      <c r="F1036" s="13" t="inlineStr">
        <is>
          <t>Rua Vitório Sambatti, 70, Conjunto Hab Karina</t>
        </is>
      </c>
      <c r="G1036" s="13" t="n">
        <v>300</v>
      </c>
      <c r="H1036" s="13" t="inlineStr"/>
      <c r="I1036" s="13" t="inlineStr"/>
      <c r="K1036" s="13" t="inlineStr"/>
      <c r="L1036" s="13" t="n">
        <v>300000</v>
      </c>
      <c r="M1036" s="13" t="inlineStr">
        <is>
          <t>Ref: 00000757 | https://bellakaza.com.br/imovel/00000757/</t>
        </is>
      </c>
      <c r="N1036" s="13" t="inlineStr">
        <is>
          <t>Novo</t>
        </is>
      </c>
      <c r="O1036" s="13" t="inlineStr"/>
    </row>
    <row r="1037">
      <c r="A1037" s="13" t="inlineStr">
        <is>
          <t>2026-06-28</t>
        </is>
      </c>
      <c r="B1037" s="13" t="inlineStr">
        <is>
          <t>bellakaza.com.br</t>
        </is>
      </c>
      <c r="C1037" s="13" t="inlineStr">
        <is>
          <t>Bellakaza Negócios Imobiliários</t>
        </is>
      </c>
      <c r="D1037" s="13" t="inlineStr"/>
      <c r="E1037" s="13" t="inlineStr">
        <is>
          <t>Imóvel</t>
        </is>
      </c>
      <c r="F1037" s="13" t="inlineStr">
        <is>
          <t>Rua das Sibipirunas, 1091, Conjunto Hab Inocente Vila Nova Júnior</t>
        </is>
      </c>
      <c r="G1037" s="13" t="n">
        <v>109.69</v>
      </c>
      <c r="H1037" s="13" t="n">
        <v>2</v>
      </c>
      <c r="I1037" s="13" t="n">
        <v>1</v>
      </c>
      <c r="K1037" s="13" t="n">
        <v>1</v>
      </c>
      <c r="L1037" s="13" t="n">
        <v>310000</v>
      </c>
      <c r="M1037" s="13" t="inlineStr">
        <is>
          <t>Ref: 00000617 | https://bellakaza.com.br/imovel/00000617/</t>
        </is>
      </c>
      <c r="N1037" s="13" t="inlineStr">
        <is>
          <t>Novo</t>
        </is>
      </c>
      <c r="O1037" s="13" t="inlineStr"/>
    </row>
    <row r="1038">
      <c r="A1038" s="13" t="inlineStr">
        <is>
          <t>2026-06-28</t>
        </is>
      </c>
      <c r="B1038" s="13" t="inlineStr">
        <is>
          <t>bellakaza.com.br</t>
        </is>
      </c>
      <c r="C1038" s="13" t="inlineStr">
        <is>
          <t>Bellakaza Negócios Imobiliários</t>
        </is>
      </c>
      <c r="D1038" s="13" t="inlineStr"/>
      <c r="E1038" s="13" t="inlineStr">
        <is>
          <t>Imóvel</t>
        </is>
      </c>
      <c r="F1038" s="13" t="inlineStr">
        <is>
          <t>Avenida Brasil, 4312, Zona 01 - Centro</t>
        </is>
      </c>
      <c r="G1038" s="13" t="n">
        <v>43.3</v>
      </c>
      <c r="H1038" s="13" t="n"/>
      <c r="I1038" s="13" t="n">
        <v>3</v>
      </c>
      <c r="K1038" s="13" t="n">
        <v>1</v>
      </c>
      <c r="L1038" s="13" t="n">
        <v>320000</v>
      </c>
      <c r="M1038" s="13" t="inlineStr">
        <is>
          <t>Ref: 00000240 | Transamérica | https://bellakaza.com.br/imovel/00000240/</t>
        </is>
      </c>
      <c r="N1038" s="13" t="inlineStr">
        <is>
          <t>Novo</t>
        </is>
      </c>
      <c r="O1038" s="13" t="inlineStr"/>
    </row>
    <row r="1039">
      <c r="A1039" s="13" t="inlineStr">
        <is>
          <t>2026-06-28</t>
        </is>
      </c>
      <c r="B1039" s="13" t="inlineStr">
        <is>
          <t>bellakaza.com.br</t>
        </is>
      </c>
      <c r="C1039" s="13" t="inlineStr">
        <is>
          <t>Bellakaza Negócios Imobiliários</t>
        </is>
      </c>
      <c r="D1039" s="13" t="inlineStr"/>
      <c r="E1039" s="13" t="inlineStr">
        <is>
          <t>Imóvel</t>
        </is>
      </c>
      <c r="F1039" s="13" t="inlineStr">
        <is>
          <t>Avenida Tuiuti, 4673, Jardim Colina Verde</t>
        </is>
      </c>
      <c r="G1039" s="13" t="n">
        <v>120.88</v>
      </c>
      <c r="H1039" s="13" t="n">
        <v>1</v>
      </c>
      <c r="I1039" s="13" t="n">
        <v>2</v>
      </c>
      <c r="K1039" s="13" t="n">
        <v>3</v>
      </c>
      <c r="L1039" s="13" t="n">
        <v>330000</v>
      </c>
      <c r="M1039" s="13" t="inlineStr">
        <is>
          <t>Ref: 00000541 | https://bellakaza.com.br/imovel/00000541/</t>
        </is>
      </c>
      <c r="N1039" s="13" t="inlineStr">
        <is>
          <t>Novo</t>
        </is>
      </c>
      <c r="O1039" s="13" t="inlineStr"/>
    </row>
    <row r="1040">
      <c r="A1040" s="13" t="inlineStr">
        <is>
          <t>2026-06-28</t>
        </is>
      </c>
      <c r="B1040" s="13" t="inlineStr">
        <is>
          <t>bellakaza.com.br</t>
        </is>
      </c>
      <c r="C1040" s="13" t="inlineStr">
        <is>
          <t>Bellakaza Negócios Imobiliários</t>
        </is>
      </c>
      <c r="D1040" s="13" t="inlineStr"/>
      <c r="E1040" s="13" t="inlineStr">
        <is>
          <t>Imóvel</t>
        </is>
      </c>
      <c r="F1040" s="13" t="inlineStr">
        <is>
          <t>Rua Rio Congoinhas, 1714, Parque Res Tuiuti</t>
        </is>
      </c>
      <c r="G1040" s="13" t="n">
        <v>80</v>
      </c>
      <c r="H1040" s="13" t="n">
        <v>2</v>
      </c>
      <c r="I1040" s="13" t="n">
        <v>1</v>
      </c>
      <c r="K1040" s="13" t="n">
        <v>1</v>
      </c>
      <c r="L1040" s="13" t="n">
        <v>340000</v>
      </c>
      <c r="M1040" s="13" t="inlineStr">
        <is>
          <t>Ref: 00000652 | https://bellakaza.com.br/imovel/00000652/</t>
        </is>
      </c>
      <c r="N1040" s="13" t="inlineStr">
        <is>
          <t>Novo</t>
        </is>
      </c>
      <c r="O1040" s="13" t="inlineStr"/>
    </row>
    <row r="1041">
      <c r="A1041" s="13" t="inlineStr">
        <is>
          <t>2026-06-28</t>
        </is>
      </c>
      <c r="B1041" s="13" t="inlineStr">
        <is>
          <t>bellakaza.com.br</t>
        </is>
      </c>
      <c r="C1041" s="13" t="inlineStr">
        <is>
          <t>Bellakaza Negócios Imobiliários</t>
        </is>
      </c>
      <c r="D1041" s="13" t="inlineStr"/>
      <c r="E1041" s="13" t="inlineStr">
        <is>
          <t>Imóvel</t>
        </is>
      </c>
      <c r="F1041" s="13" t="inlineStr">
        <is>
          <t>Rua Pioneiro Carlos Bulla, 208, Jardim Paraíso</t>
        </is>
      </c>
      <c r="G1041" s="13" t="n">
        <v>353.39</v>
      </c>
      <c r="H1041" s="13" t="inlineStr"/>
      <c r="I1041" s="13" t="inlineStr"/>
      <c r="K1041" s="13" t="inlineStr"/>
      <c r="L1041" s="13" t="n">
        <v>360000</v>
      </c>
      <c r="M1041" s="13" t="inlineStr">
        <is>
          <t>Ref: 00000418 | VillÃ¡gio das Ãguas | https://bellakaza.com.br/imovel/00000418/</t>
        </is>
      </c>
      <c r="N1041" s="13" t="inlineStr">
        <is>
          <t>Novo</t>
        </is>
      </c>
      <c r="O1041" s="13" t="inlineStr"/>
    </row>
    <row r="1042">
      <c r="A1042" s="13" t="inlineStr">
        <is>
          <t>2026-06-28</t>
        </is>
      </c>
      <c r="B1042" s="13" t="inlineStr">
        <is>
          <t>bellakaza.com.br</t>
        </is>
      </c>
      <c r="C1042" s="13" t="inlineStr">
        <is>
          <t>Bellakaza Negócios Imobiliários</t>
        </is>
      </c>
      <c r="D1042" s="13" t="inlineStr"/>
      <c r="E1042" s="13" t="inlineStr">
        <is>
          <t>Imóvel</t>
        </is>
      </c>
      <c r="F1042" s="13" t="inlineStr">
        <is>
          <t>Rua Pioneiro Carlos Bulla, 208, Jardim Paraíso</t>
        </is>
      </c>
      <c r="G1042" s="13" t="n">
        <v>350</v>
      </c>
      <c r="H1042" s="13" t="inlineStr"/>
      <c r="I1042" s="13" t="inlineStr"/>
      <c r="K1042" s="13" t="inlineStr"/>
      <c r="L1042" s="13" t="n">
        <v>360000</v>
      </c>
      <c r="M1042" s="13" t="inlineStr">
        <is>
          <t>Ref: 00000419 | VillÃ¡gio das Ãguas | https://bellakaza.com.br/imovel/00000419/</t>
        </is>
      </c>
      <c r="N1042" s="13" t="inlineStr">
        <is>
          <t>Novo</t>
        </is>
      </c>
      <c r="O1042" s="13" t="inlineStr"/>
    </row>
    <row r="1043">
      <c r="A1043" s="13" t="inlineStr">
        <is>
          <t>2026-06-28</t>
        </is>
      </c>
      <c r="B1043" s="13" t="inlineStr">
        <is>
          <t>bellakaza.com.br</t>
        </is>
      </c>
      <c r="C1043" s="13" t="inlineStr">
        <is>
          <t>Bellakaza Negócios Imobiliários</t>
        </is>
      </c>
      <c r="D1043" s="13" t="inlineStr"/>
      <c r="E1043" s="13" t="inlineStr">
        <is>
          <t>Imóvel</t>
        </is>
      </c>
      <c r="F1043" s="13" t="inlineStr">
        <is>
          <t>Rua Edézio de Almeida Lima, 160, Jardim Monte Rei</t>
        </is>
      </c>
      <c r="G1043" s="13" t="n">
        <v>78.64</v>
      </c>
      <c r="H1043" s="13" t="n">
        <v>1</v>
      </c>
      <c r="I1043" s="13" t="n">
        <v>2</v>
      </c>
      <c r="K1043" s="13" t="n">
        <v>1</v>
      </c>
      <c r="L1043" s="13" t="n">
        <v>369000</v>
      </c>
      <c r="M1043" s="13" t="inlineStr">
        <is>
          <t>Ref: 00000689 | https://bellakaza.com.br/imovel/00000689/</t>
        </is>
      </c>
      <c r="N1043" s="13" t="inlineStr">
        <is>
          <t>Novo</t>
        </is>
      </c>
      <c r="O1043" s="13" t="inlineStr"/>
    </row>
    <row r="1044">
      <c r="A1044" s="13" t="inlineStr">
        <is>
          <t>2026-06-28</t>
        </is>
      </c>
      <c r="B1044" s="13" t="inlineStr">
        <is>
          <t>bellakaza.com.br</t>
        </is>
      </c>
      <c r="C1044" s="13" t="inlineStr">
        <is>
          <t>Bellakaza Negócios Imobiliários</t>
        </is>
      </c>
      <c r="D1044" s="13" t="inlineStr"/>
      <c r="E1044" s="13" t="inlineStr">
        <is>
          <t>Imóvel</t>
        </is>
      </c>
      <c r="F1044" s="13" t="inlineStr">
        <is>
          <t>Rua Tranquilo Morgon, 12, Jardim São Basilio</t>
        </is>
      </c>
      <c r="G1044" s="13" t="n">
        <v>648</v>
      </c>
      <c r="H1044" s="13" t="inlineStr"/>
      <c r="I1044" s="13" t="inlineStr"/>
      <c r="K1044" s="13" t="inlineStr"/>
      <c r="L1044" s="13" t="n">
        <v>380000</v>
      </c>
      <c r="M1044" s="13" t="inlineStr">
        <is>
          <t>Ref: 00000040 | https://bellakaza.com.br/imovel/00000040/</t>
        </is>
      </c>
      <c r="N1044" s="13" t="inlineStr">
        <is>
          <t>Novo</t>
        </is>
      </c>
      <c r="O1044" s="13" t="inlineStr"/>
    </row>
    <row r="1045">
      <c r="A1045" s="13" t="inlineStr">
        <is>
          <t>2026-06-28</t>
        </is>
      </c>
      <c r="B1045" s="13" t="inlineStr">
        <is>
          <t>bellakaza.com.br</t>
        </is>
      </c>
      <c r="C1045" s="13" t="inlineStr">
        <is>
          <t>Bellakaza Negócios Imobiliários</t>
        </is>
      </c>
      <c r="D1045" s="13" t="inlineStr"/>
      <c r="E1045" s="13" t="inlineStr">
        <is>
          <t>Imóvel</t>
        </is>
      </c>
      <c r="F1045" s="13" t="inlineStr">
        <is>
          <t>Travessa Marfim, 39, Jardim Vitória</t>
        </is>
      </c>
      <c r="G1045" s="13" t="n">
        <v>101.85</v>
      </c>
      <c r="H1045" s="13" t="n">
        <v>3</v>
      </c>
      <c r="I1045" s="13" t="n">
        <v>1</v>
      </c>
      <c r="K1045" s="13" t="n">
        <v>2</v>
      </c>
      <c r="L1045" s="13" t="n">
        <v>398000</v>
      </c>
      <c r="M1045" s="13" t="inlineStr">
        <is>
          <t>Ref: 00000634 | https://bellakaza.com.br/imovel/00000634/</t>
        </is>
      </c>
      <c r="N1045" s="13" t="inlineStr">
        <is>
          <t>Novo</t>
        </is>
      </c>
      <c r="O1045" s="13" t="inlineStr"/>
    </row>
    <row r="1046">
      <c r="A1046" s="13" t="inlineStr">
        <is>
          <t>2026-06-28</t>
        </is>
      </c>
      <c r="B1046" s="13" t="inlineStr">
        <is>
          <t>bellakaza.com.br</t>
        </is>
      </c>
      <c r="C1046" s="13" t="inlineStr">
        <is>
          <t>Bellakaza Negócios Imobiliários</t>
        </is>
      </c>
      <c r="D1046" s="13" t="inlineStr"/>
      <c r="E1046" s="13" t="inlineStr">
        <is>
          <t>Imóvel</t>
        </is>
      </c>
      <c r="F1046" s="13" t="inlineStr">
        <is>
          <t>Rua Cuba, 23, Vila Morangueira</t>
        </is>
      </c>
      <c r="G1046" s="13" t="n">
        <v>540</v>
      </c>
      <c r="H1046" s="13" t="inlineStr"/>
      <c r="I1046" s="13" t="inlineStr"/>
      <c r="K1046" s="13" t="inlineStr"/>
      <c r="L1046" s="13" t="n">
        <v>450000</v>
      </c>
      <c r="M1046" s="13" t="inlineStr">
        <is>
          <t>Ref: 00000395 | https://bellakaza.com.br/imovel/00000395/</t>
        </is>
      </c>
      <c r="N1046" s="13" t="inlineStr">
        <is>
          <t>Novo</t>
        </is>
      </c>
      <c r="O1046" s="13" t="inlineStr"/>
    </row>
    <row r="1047">
      <c r="A1047" s="13" t="inlineStr">
        <is>
          <t>2026-06-28</t>
        </is>
      </c>
      <c r="B1047" s="13" t="inlineStr">
        <is>
          <t>bellakaza.com.br</t>
        </is>
      </c>
      <c r="C1047" s="13" t="inlineStr">
        <is>
          <t>Bellakaza Negócios Imobiliários</t>
        </is>
      </c>
      <c r="D1047" s="13" t="inlineStr"/>
      <c r="E1047" s="13" t="inlineStr">
        <is>
          <t>Imóvel</t>
        </is>
      </c>
      <c r="F1047" s="13" t="inlineStr">
        <is>
          <t>Rua Pioneiro Tertulino Ribeiro dos Santo, Conjunto Res Cidade Alta</t>
        </is>
      </c>
      <c r="G1047" s="13" t="n">
        <v>190.74</v>
      </c>
      <c r="H1047" s="13" t="n">
        <v>3</v>
      </c>
      <c r="I1047" s="13" t="n">
        <v>4</v>
      </c>
      <c r="K1047" s="13" t="n">
        <v>2</v>
      </c>
      <c r="L1047" s="13" t="n">
        <v>470000</v>
      </c>
      <c r="M1047" s="13" t="inlineStr">
        <is>
          <t>Ref: 00000721 | https://bellakaza.com.br/imovel/00000721/</t>
        </is>
      </c>
      <c r="N1047" s="13" t="inlineStr">
        <is>
          <t>Novo</t>
        </is>
      </c>
      <c r="O1047" s="13" t="inlineStr"/>
    </row>
    <row r="1048">
      <c r="A1048" s="13" t="inlineStr">
        <is>
          <t>2026-06-28</t>
        </is>
      </c>
      <c r="B1048" s="13" t="inlineStr">
        <is>
          <t>bellakaza.com.br</t>
        </is>
      </c>
      <c r="C1048" s="13" t="inlineStr">
        <is>
          <t>Bellakaza Negócios Imobiliários</t>
        </is>
      </c>
      <c r="D1048" s="13" t="inlineStr"/>
      <c r="E1048" s="13" t="inlineStr">
        <is>
          <t>Imóvel</t>
        </is>
      </c>
      <c r="F1048" s="13" t="inlineStr">
        <is>
          <t>Avenida Brasil, 3832, Zona 01 - Centro</t>
        </is>
      </c>
      <c r="G1048" s="13" t="n">
        <v>101.1</v>
      </c>
      <c r="H1048" s="13" t="n"/>
      <c r="I1048" s="13" t="n">
        <v>1</v>
      </c>
      <c r="K1048" s="13" t="n">
        <v>3</v>
      </c>
      <c r="L1048" s="13" t="n">
        <v>480000</v>
      </c>
      <c r="M1048" s="13" t="inlineStr">
        <is>
          <t>Ref: 00000235 | Maringa | https://bellakaza.com.br/imovel/00000235/</t>
        </is>
      </c>
      <c r="N1048" s="13" t="inlineStr">
        <is>
          <t>Novo</t>
        </is>
      </c>
      <c r="O1048" s="13" t="inlineStr"/>
    </row>
    <row r="1049">
      <c r="A1049" s="13" t="inlineStr">
        <is>
          <t>2026-06-28</t>
        </is>
      </c>
      <c r="B1049" s="13" t="inlineStr">
        <is>
          <t>bellakaza.com.br</t>
        </is>
      </c>
      <c r="C1049" s="13" t="inlineStr">
        <is>
          <t>Bellakaza Negócios Imobiliários</t>
        </is>
      </c>
      <c r="D1049" s="13" t="inlineStr"/>
      <c r="E1049" s="13" t="inlineStr">
        <is>
          <t>Imóvel</t>
        </is>
      </c>
      <c r="F1049" s="13" t="inlineStr">
        <is>
          <t>Rua Mem de Sá, 1703, Vila Bosque</t>
        </is>
      </c>
      <c r="G1049" s="13" t="n">
        <v>75</v>
      </c>
      <c r="H1049" s="13" t="n"/>
      <c r="I1049" s="13" t="n">
        <v>1</v>
      </c>
      <c r="K1049" s="13" t="n">
        <v>2</v>
      </c>
      <c r="L1049" s="13" t="n">
        <v>490000</v>
      </c>
      <c r="M1049" s="13" t="inlineStr">
        <is>
          <t>Ref: 00000060 | Bonne Vie Halchuk | https://bellakaza.com.br/imovel/00000060/</t>
        </is>
      </c>
      <c r="N1049" s="13" t="inlineStr">
        <is>
          <t>Novo</t>
        </is>
      </c>
      <c r="O1049" s="13" t="inlineStr"/>
    </row>
    <row r="1050">
      <c r="A1050" s="13" t="inlineStr">
        <is>
          <t>2026-06-28</t>
        </is>
      </c>
      <c r="B1050" s="13" t="inlineStr">
        <is>
          <t>bellakaza.com.br</t>
        </is>
      </c>
      <c r="C1050" s="13" t="inlineStr">
        <is>
          <t>Bellakaza Negócios Imobiliários</t>
        </is>
      </c>
      <c r="D1050" s="13" t="inlineStr"/>
      <c r="E1050" s="13" t="inlineStr">
        <is>
          <t>Imóvel</t>
        </is>
      </c>
      <c r="F1050" s="13" t="inlineStr">
        <is>
          <t>Avenida Tuiuti, 4673, Jardim Novo Oásis</t>
        </is>
      </c>
      <c r="G1050" s="13" t="n">
        <v>77.31</v>
      </c>
      <c r="H1050" s="13" t="n">
        <v>2</v>
      </c>
      <c r="I1050" s="13" t="n">
        <v>1</v>
      </c>
      <c r="K1050" s="13" t="inlineStr"/>
      <c r="L1050" s="13" t="n">
        <v>499000</v>
      </c>
      <c r="M1050" s="13" t="inlineStr">
        <is>
          <t>Ref: 00000543 | https://bellakaza.com.br/imovel/00000543/</t>
        </is>
      </c>
      <c r="N1050" s="13" t="inlineStr">
        <is>
          <t>Novo</t>
        </is>
      </c>
      <c r="O1050" s="13" t="inlineStr"/>
    </row>
    <row r="1051">
      <c r="A1051" s="13" t="inlineStr">
        <is>
          <t>2026-06-28</t>
        </is>
      </c>
      <c r="B1051" s="13" t="inlineStr">
        <is>
          <t>bellakaza.com.br</t>
        </is>
      </c>
      <c r="C1051" s="13" t="inlineStr">
        <is>
          <t>Bellakaza Negócios Imobiliários</t>
        </is>
      </c>
      <c r="D1051" s="13" t="inlineStr"/>
      <c r="E1051" s="13" t="inlineStr">
        <is>
          <t>Imóvel</t>
        </is>
      </c>
      <c r="F1051" s="13" t="inlineStr">
        <is>
          <t>Avenida Getúlio Vargas, 35, Zona 01 - Centro</t>
        </is>
      </c>
      <c r="G1051" s="13" t="n">
        <v>109.73</v>
      </c>
      <c r="H1051" s="13" t="n"/>
      <c r="I1051" s="13" t="n">
        <v>1</v>
      </c>
      <c r="K1051" s="13" t="n">
        <v>2</v>
      </c>
      <c r="L1051" s="13" t="n">
        <v>590000</v>
      </c>
      <c r="M1051" s="13" t="inlineStr">
        <is>
          <t>Ref: 00000794 | Maria Tereza | https://bellakaza.com.br/imovel/00000794/</t>
        </is>
      </c>
      <c r="N1051" s="13" t="inlineStr">
        <is>
          <t>Novo</t>
        </is>
      </c>
      <c r="O1051" s="13" t="inlineStr"/>
    </row>
    <row r="1052">
      <c r="A1052" s="13" t="inlineStr">
        <is>
          <t>2026-06-28</t>
        </is>
      </c>
      <c r="B1052" s="13" t="inlineStr">
        <is>
          <t>bellakaza.com.br</t>
        </is>
      </c>
      <c r="C1052" s="13" t="inlineStr">
        <is>
          <t>Bellakaza Negócios Imobiliários</t>
        </is>
      </c>
      <c r="D1052" s="13" t="inlineStr"/>
      <c r="E1052" s="13" t="inlineStr">
        <is>
          <t>Imóvel</t>
        </is>
      </c>
      <c r="F1052" s="13" t="inlineStr">
        <is>
          <t>Rua das Carnaúbas, 30, Parque das Bandeiras</t>
        </is>
      </c>
      <c r="G1052" s="13" t="n">
        <v>337.45</v>
      </c>
      <c r="H1052" s="13" t="n">
        <v>1</v>
      </c>
      <c r="I1052" s="13" t="n">
        <v>3</v>
      </c>
      <c r="K1052" s="13" t="n">
        <v>6</v>
      </c>
      <c r="L1052" s="13" t="n">
        <v>680000</v>
      </c>
      <c r="M1052" s="13" t="inlineStr">
        <is>
          <t>Ref: 00000400 | https://bellakaza.com.br/imovel/00000400/</t>
        </is>
      </c>
      <c r="N1052" s="13" t="inlineStr">
        <is>
          <t>Novo</t>
        </is>
      </c>
      <c r="O1052" s="13" t="inlineStr"/>
    </row>
    <row r="1053">
      <c r="A1053" s="13" t="inlineStr">
        <is>
          <t>2026-06-28</t>
        </is>
      </c>
      <c r="B1053" s="13" t="inlineStr">
        <is>
          <t>bellakaza.com.br</t>
        </is>
      </c>
      <c r="C1053" s="13" t="inlineStr">
        <is>
          <t>Bellakaza Negócios Imobiliários</t>
        </is>
      </c>
      <c r="D1053" s="13" t="inlineStr"/>
      <c r="E1053" s="13" t="inlineStr">
        <is>
          <t>Imóvel</t>
        </is>
      </c>
      <c r="F1053" s="13" t="inlineStr">
        <is>
          <t>Avenida Doutor Alexandre Rasgulaeff, 283, Jardim Dourados</t>
        </is>
      </c>
      <c r="G1053" s="13" t="n">
        <v>413.47</v>
      </c>
      <c r="H1053" s="13" t="inlineStr"/>
      <c r="I1053" s="13" t="inlineStr"/>
      <c r="K1053" s="13" t="inlineStr"/>
      <c r="L1053" s="13" t="n">
        <v>730000</v>
      </c>
      <c r="M1053" s="13" t="inlineStr">
        <is>
          <t>Ref: 00000396 | https://bellakaza.com.br/imovel/00000396/</t>
        </is>
      </c>
      <c r="N1053" s="13" t="inlineStr">
        <is>
          <t>Novo</t>
        </is>
      </c>
      <c r="O1053" s="13" t="inlineStr"/>
    </row>
    <row r="1054">
      <c r="A1054" s="13" t="inlineStr">
        <is>
          <t>2026-06-28</t>
        </is>
      </c>
      <c r="B1054" s="13" t="inlineStr">
        <is>
          <t>bellakaza.com.br</t>
        </is>
      </c>
      <c r="C1054" s="13" t="inlineStr">
        <is>
          <t>Bellakaza Negócios Imobiliários</t>
        </is>
      </c>
      <c r="D1054" s="13" t="inlineStr"/>
      <c r="E1054" s="13" t="inlineStr">
        <is>
          <t>Imóvel</t>
        </is>
      </c>
      <c r="F1054" s="13" t="inlineStr">
        <is>
          <t>Rua Antônio Salema, 252, Zona 02</t>
        </is>
      </c>
      <c r="G1054" s="13" t="n">
        <v>161.17</v>
      </c>
      <c r="H1054" s="13" t="n">
        <v>1</v>
      </c>
      <c r="I1054" s="13" t="n">
        <v>2</v>
      </c>
      <c r="K1054" s="13" t="n">
        <v>1</v>
      </c>
      <c r="L1054" s="13" t="n">
        <v>890000</v>
      </c>
      <c r="M1054" s="13" t="inlineStr">
        <is>
          <t>Ref: 00000786 | https://bellakaza.com.br/imovel/00000786/</t>
        </is>
      </c>
      <c r="N1054" s="13" t="inlineStr">
        <is>
          <t>Novo</t>
        </is>
      </c>
      <c r="O1054" s="13" t="inlineStr"/>
    </row>
    <row r="1055">
      <c r="A1055" s="13" t="inlineStr">
        <is>
          <t>2026-06-28</t>
        </is>
      </c>
      <c r="B1055" s="13" t="inlineStr">
        <is>
          <t>bellakaza.com.br</t>
        </is>
      </c>
      <c r="C1055" s="13" t="inlineStr">
        <is>
          <t>Bellakaza Negócios Imobiliários</t>
        </is>
      </c>
      <c r="D1055" s="13" t="inlineStr"/>
      <c r="E1055" s="13" t="inlineStr">
        <is>
          <t>Imóvel</t>
        </is>
      </c>
      <c r="F1055" s="13" t="inlineStr">
        <is>
          <t>Rua Arlindo Marquezini, 859, Parque Palmeiras</t>
        </is>
      </c>
      <c r="G1055" s="13" t="n">
        <v>300</v>
      </c>
      <c r="H1055" s="13" t="n">
        <v>2</v>
      </c>
      <c r="I1055" s="13" t="n">
        <v>3</v>
      </c>
      <c r="K1055" s="13" t="n">
        <v>3</v>
      </c>
      <c r="L1055" s="13" t="n">
        <v>900000</v>
      </c>
      <c r="M1055" s="13" t="inlineStr">
        <is>
          <t>Ref: 00000691 | https://bellakaza.com.br/imovel/00000691/</t>
        </is>
      </c>
      <c r="N1055" s="13" t="inlineStr">
        <is>
          <t>Novo</t>
        </is>
      </c>
      <c r="O1055" s="13" t="inlineStr"/>
    </row>
    <row r="1056">
      <c r="A1056" s="13" t="inlineStr">
        <is>
          <t>2026-06-28</t>
        </is>
      </c>
      <c r="B1056" s="13" t="inlineStr">
        <is>
          <t>bellakaza.com.br</t>
        </is>
      </c>
      <c r="C1056" s="13" t="inlineStr">
        <is>
          <t>Bellakaza Negócios Imobiliários</t>
        </is>
      </c>
      <c r="D1056" s="13" t="inlineStr"/>
      <c r="E1056" s="13" t="inlineStr">
        <is>
          <t>Imóvel</t>
        </is>
      </c>
      <c r="F1056" s="13" t="inlineStr">
        <is>
          <t>Rua Professor Lauro Eduardo Werneck, 803, Zona 07</t>
        </is>
      </c>
      <c r="G1056" s="13" t="n">
        <v>206</v>
      </c>
      <c r="H1056" s="13" t="n">
        <v>8</v>
      </c>
      <c r="I1056" s="13" t="n">
        <v>3</v>
      </c>
      <c r="K1056" s="13" t="n">
        <v>1</v>
      </c>
      <c r="L1056" s="13" t="n">
        <v>950000</v>
      </c>
      <c r="M1056" s="13" t="inlineStr">
        <is>
          <t>Ref: 00000095 | https://bellakaza.com.br/imovel/00000095/</t>
        </is>
      </c>
      <c r="N1056" s="13" t="inlineStr">
        <is>
          <t>Novo</t>
        </is>
      </c>
      <c r="O1056" s="13" t="inlineStr"/>
    </row>
    <row r="1057">
      <c r="A1057" s="13" t="inlineStr">
        <is>
          <t>2026-06-28</t>
        </is>
      </c>
      <c r="B1057" s="13" t="inlineStr">
        <is>
          <t>bellakaza.com.br</t>
        </is>
      </c>
      <c r="C1057" s="13" t="inlineStr">
        <is>
          <t>Bellakaza Negócios Imobiliários</t>
        </is>
      </c>
      <c r="D1057" s="13" t="inlineStr"/>
      <c r="E1057" s="13" t="inlineStr">
        <is>
          <t>Imóvel</t>
        </is>
      </c>
      <c r="F1057" s="13" t="inlineStr">
        <is>
          <t>Rua Jaracatiá, 277, Vila Bosque</t>
        </is>
      </c>
      <c r="G1057" s="13" t="n">
        <v>1089</v>
      </c>
      <c r="H1057" s="13" t="inlineStr"/>
      <c r="I1057" s="13" t="inlineStr"/>
      <c r="K1057" s="13" t="inlineStr"/>
      <c r="L1057" s="13" t="n">
        <v>1000000</v>
      </c>
      <c r="M1057" s="13" t="inlineStr">
        <is>
          <t>Ref: 00000724 | https://bellakaza.com.br/imovel/00000724/</t>
        </is>
      </c>
      <c r="N1057" s="13" t="inlineStr">
        <is>
          <t>Novo</t>
        </is>
      </c>
      <c r="O1057" s="13" t="inlineStr"/>
    </row>
    <row r="1058">
      <c r="A1058" s="13" t="inlineStr">
        <is>
          <t>2026-06-28</t>
        </is>
      </c>
      <c r="B1058" s="13" t="inlineStr">
        <is>
          <t>bellakaza.com.br</t>
        </is>
      </c>
      <c r="C1058" s="13" t="inlineStr">
        <is>
          <t>Bellakaza Negócios Imobiliários</t>
        </is>
      </c>
      <c r="D1058" s="13" t="inlineStr"/>
      <c r="E1058" s="13" t="inlineStr">
        <is>
          <t>Imóvel</t>
        </is>
      </c>
      <c r="F1058" s="13" t="inlineStr">
        <is>
          <t>Avenida Paranavaí, 237, Zona 06</t>
        </is>
      </c>
      <c r="G1058" s="13" t="n">
        <v>457.44</v>
      </c>
      <c r="H1058" s="13" t="inlineStr"/>
      <c r="I1058" s="13" t="inlineStr"/>
      <c r="K1058" s="13" t="inlineStr"/>
      <c r="L1058" s="13" t="n">
        <v>1500000</v>
      </c>
      <c r="M1058" s="13" t="inlineStr">
        <is>
          <t>Ref: 00000801 | https://bellakaza.com.br/imovel/00000801/</t>
        </is>
      </c>
      <c r="N1058" s="13" t="inlineStr">
        <is>
          <t>Novo</t>
        </is>
      </c>
      <c r="O1058" s="13" t="inlineStr"/>
    </row>
    <row r="1059">
      <c r="A1059" s="13" t="inlineStr">
        <is>
          <t>2026-06-28</t>
        </is>
      </c>
      <c r="B1059" s="13" t="inlineStr">
        <is>
          <t>bellakaza.com.br</t>
        </is>
      </c>
      <c r="C1059" s="13" t="inlineStr">
        <is>
          <t>Bellakaza Negócios Imobiliários</t>
        </is>
      </c>
      <c r="D1059" s="13" t="inlineStr"/>
      <c r="E1059" s="13" t="inlineStr">
        <is>
          <t>Imóvel</t>
        </is>
      </c>
      <c r="F1059" s="13" t="inlineStr">
        <is>
          <t>Rua Cariovaldo Ferreira, 95, Zona 08</t>
        </is>
      </c>
      <c r="G1059" s="13" t="n">
        <v>637.5</v>
      </c>
      <c r="H1059" s="13" t="inlineStr"/>
      <c r="I1059" s="13" t="inlineStr"/>
      <c r="K1059" s="13" t="inlineStr"/>
      <c r="L1059" s="13" t="n">
        <v>1790000</v>
      </c>
      <c r="M1059" s="13" t="inlineStr">
        <is>
          <t>Ref: 00000756 | https://bellakaza.com.br/imovel/00000756/</t>
        </is>
      </c>
      <c r="N1059" s="13" t="inlineStr">
        <is>
          <t>Novo</t>
        </is>
      </c>
      <c r="O1059" s="13" t="inlineStr"/>
    </row>
    <row r="1060">
      <c r="A1060" s="13" t="inlineStr">
        <is>
          <t>2026-06-28</t>
        </is>
      </c>
      <c r="B1060" s="13" t="inlineStr">
        <is>
          <t>bellakaza.com.br</t>
        </is>
      </c>
      <c r="C1060" s="13" t="inlineStr">
        <is>
          <t>Bellakaza Negócios Imobiliários</t>
        </is>
      </c>
      <c r="D1060" s="13" t="inlineStr"/>
      <c r="E1060" s="13" t="inlineStr">
        <is>
          <t>Imóvel</t>
        </is>
      </c>
      <c r="F1060" s="13" t="inlineStr">
        <is>
          <t>Avenida Doutor Alexandre Rasgulaeff, 248, Jardim Dourados</t>
        </is>
      </c>
      <c r="G1060" s="13" t="inlineStr"/>
      <c r="H1060" s="13" t="inlineStr"/>
      <c r="I1060" s="13" t="inlineStr"/>
      <c r="K1060" s="13" t="inlineStr"/>
      <c r="L1060" s="13" t="n">
        <v>2200000</v>
      </c>
      <c r="M1060" s="13" t="inlineStr">
        <is>
          <t>Ref: 00000758 | https://bellakaza.com.br/imovel/00000758/</t>
        </is>
      </c>
      <c r="N1060" s="13" t="inlineStr">
        <is>
          <t>Novo</t>
        </is>
      </c>
      <c r="O1060" s="13" t="inlineStr"/>
    </row>
    <row r="1061">
      <c r="A1061" s="14" t="inlineStr">
        <is>
          <t>29/06/2026, 11:05:17</t>
        </is>
      </c>
      <c r="B1061" s="14" t="inlineStr">
        <is>
          <t>Maringá Apartamentos 🏘️</t>
        </is>
      </c>
      <c r="C1061" s="14" t="inlineStr">
        <is>
          <t>Nadia Kaline Mori</t>
        </is>
      </c>
      <c r="D1061" s="14" t="inlineStr"/>
      <c r="E1061" s="14" t="inlineStr">
        <is>
          <t>Imóvel</t>
        </is>
      </c>
      <c r="F1061" s="14" t="inlineStr">
        <is>
          <t>Zona 08</t>
        </is>
      </c>
      <c r="G1061" s="14" t="n">
        <v>119.99</v>
      </c>
      <c r="H1061" s="14" t="n"/>
      <c r="I1061" s="14" t="n">
        <v>3</v>
      </c>
      <c r="J1061" s="14" t="n"/>
      <c r="K1061" s="14" t="n">
        <v>3</v>
      </c>
      <c r="L1061" s="14" t="n">
        <v>1450000</v>
      </c>
      <c r="M1061" s="14" t="inlineStr">
        <is>
          <t>🏙️ Ed. Maison Montalcino – Zona 08
☀️ 11º andar | Fundos | Sol da manhã
📐 119,99 m² muito bem distribuídos
🛏️ 3 suítes
🚗 3 vagas de garagem 
🔥 Churrasqueira a carvão
💰 R$ 1.450.000,00</t>
        </is>
      </c>
      <c r="N1061" s="14" t="inlineStr">
        <is>
          <t>Novo</t>
        </is>
      </c>
      <c r="O1061" s="14" t="inlineStr"/>
    </row>
    <row r="1062">
      <c r="A1062" s="14" t="inlineStr">
        <is>
          <t>29/06/2026, 11:12:05</t>
        </is>
      </c>
      <c r="B1062" s="14" t="inlineStr">
        <is>
          <t>Maringá Apartamentos 🏘️</t>
        </is>
      </c>
      <c r="C1062" s="14" t="inlineStr">
        <is>
          <t>Camargo</t>
        </is>
      </c>
      <c r="D1062" s="14" t="inlineStr">
        <is>
          <t>4488341500062</t>
        </is>
      </c>
      <c r="E1062" s="14" t="inlineStr">
        <is>
          <t>Kitnet</t>
        </is>
      </c>
      <c r="F1062" s="14" t="inlineStr">
        <is>
          <t>Cidade Universitária</t>
        </is>
      </c>
      <c r="G1062" s="14" t="n"/>
      <c r="H1062" s="14" t="n"/>
      <c r="I1062" s="14" t="n"/>
      <c r="J1062" s="14" t="n"/>
      <c r="K1062" s="14" t="n"/>
      <c r="L1062" s="14" t="n">
        <v>229000</v>
      </c>
      <c r="M1062" s="14" t="inlineStr">
        <is>
          <t>🏢 KITNET EM FRENTE AO UNICESUMAR 
RESIDENCIAL CIDADE UNIVERSITÁRIA 
- SACADA 
- BEM MOBILIADA 
- AR CONDICIONADO 
- PINTURA NOVA
- BL C
- lazer completo ( ACADEMIA, PISCINA, CHURRASQUEIRA, SALA DE CINEMA)
- DESOCUPADO ( 🔑 NA  ✋)
R$ 229 mil. Ótimo preço.
Somente venda no $ ou financiamento.
🚨👆🏻 É</t>
        </is>
      </c>
      <c r="N1062" s="14" t="inlineStr">
        <is>
          <t>Novo</t>
        </is>
      </c>
      <c r="O1062" s="14" t="inlineStr"/>
    </row>
    <row r="1063">
      <c r="A1063" s="14" t="inlineStr">
        <is>
          <t>29/06/2026, 11:20:21</t>
        </is>
      </c>
      <c r="B1063" s="14" t="inlineStr">
        <is>
          <t>Imoveis Maringá e Região</t>
        </is>
      </c>
      <c r="C1063" s="14" t="inlineStr">
        <is>
          <t>Willian Figueiredo</t>
        </is>
      </c>
      <c r="D1063" s="14" t="inlineStr"/>
      <c r="E1063" s="14" t="inlineStr">
        <is>
          <t>Casa</t>
        </is>
      </c>
      <c r="F1063" s="14" t="inlineStr">
        <is>
          <t>Cond. Resort Porto Rico</t>
        </is>
      </c>
      <c r="G1063" s="14" t="n"/>
      <c r="H1063" s="14" t="n"/>
      <c r="I1063" s="14" t="n"/>
      <c r="J1063" s="14" t="n"/>
      <c r="K1063" s="14" t="n"/>
      <c r="L1063" s="14" t="n">
        <v>2200000</v>
      </c>
      <c r="M1063" s="14" t="inlineStr">
        <is>
          <t>🚨🚨🚨🚨🚨🚨🚨🚨
Bom dia!
Tenho uma cliente proprietária de uma casa no Condomínio Resort Porto Rico que reduziu o valor do imóvel de R$ 2.750.000,00 para R$ 2.200.000,00.
Ela aceita como parte do pagamento um apartamento em Maringá, avaliado em até R$ 1.000.000,00, mais uma volta de R$ 1.200.000,00 à vi</t>
        </is>
      </c>
      <c r="N1063" s="14" t="inlineStr">
        <is>
          <t>Novo</t>
        </is>
      </c>
      <c r="O1063" s="14" t="inlineStr"/>
    </row>
    <row r="1064">
      <c r="A1064" s="14" t="inlineStr">
        <is>
          <t>29/06/2026, 11:23:22</t>
        </is>
      </c>
      <c r="B1064" s="14" t="inlineStr">
        <is>
          <t>UNIVERSO DOS IMÓVEIS</t>
        </is>
      </c>
      <c r="C1064" s="14" t="inlineStr">
        <is>
          <t>Vinicius Vilela</t>
        </is>
      </c>
      <c r="D1064" s="14" t="inlineStr"/>
      <c r="E1064" s="14" t="inlineStr">
        <is>
          <t>Terreno</t>
        </is>
      </c>
      <c r="F1064" s="14" t="inlineStr">
        <is>
          <t>Jardim São Paulo</t>
        </is>
      </c>
      <c r="G1064" s="14" t="n">
        <v>1277</v>
      </c>
      <c r="H1064" s="14" t="n"/>
      <c r="I1064" s="14" t="n"/>
      <c r="J1064" s="14" t="n"/>
      <c r="K1064" s="14" t="n"/>
      <c r="L1064" s="14" t="n">
        <v>950000</v>
      </c>
      <c r="M1064" s="14" t="inlineStr">
        <is>
          <t xml:space="preserve">https://www.dubaiimoveismaringa.com.br/imovel/venda/terreno/maringa-pr/jardim-das-flores/terreno-a-venda-em-condominio-fechado-com-1-277-25-m2/1063086
VENDO 🚨 
Terreno Condomínio Monte Hermon
Jardim São Paulo
- 1277 m2 privativos 
- localização priveligiada e alta valorização 
- De R$ 950.000
- </t>
        </is>
      </c>
      <c r="N1064" s="14" t="inlineStr">
        <is>
          <t>Novo</t>
        </is>
      </c>
      <c r="O1064" s="14" t="inlineStr"/>
    </row>
    <row r="1065">
      <c r="A1065" s="14" t="inlineStr">
        <is>
          <t>29/06/2026, 11:26:50</t>
        </is>
      </c>
      <c r="B1065" s="14" t="inlineStr">
        <is>
          <t>Negócio Fechado Imóveis &amp; Corretores Associados! A imobiliária que mais cresce em Maringá e região.</t>
        </is>
      </c>
      <c r="C1065" s="14" t="inlineStr">
        <is>
          <t>Diana Silva</t>
        </is>
      </c>
      <c r="D1065" s="14" t="inlineStr"/>
      <c r="E1065" s="14" t="inlineStr">
        <is>
          <t>Terreno</t>
        </is>
      </c>
      <c r="F1065" s="14" t="inlineStr">
        <is>
          <t>Condomínio FLORAIS DO LAGO</t>
        </is>
      </c>
      <c r="G1065" s="14" t="n">
        <v>420</v>
      </c>
      <c r="H1065" s="14" t="n"/>
      <c r="I1065" s="14" t="n"/>
      <c r="J1065" s="14" t="n"/>
      <c r="K1065" s="14" t="n"/>
      <c r="L1065" s="14" t="n">
        <v>231000</v>
      </c>
      <c r="M1065" s="14" t="inlineStr">
        <is>
          <t>Imagina você usufruir todos os dias dessa rica Natureza 🌞🌝Aqui no Condomínio FLORAIS DO LAGO, você encontra o Terreno ideal para sua nova Morada
Lotes a partir de 420 m² 
⌛⏳⌛ÚLTIMAS UNIDADES 
✅R$ 231.000,00
Fala Comigo!
Posso te Ajudar!
Diana Silva 
44 98454-9471 
J10781</t>
        </is>
      </c>
      <c r="N1065" s="14" t="inlineStr">
        <is>
          <t>Novo</t>
        </is>
      </c>
      <c r="O1065" s="14" t="inlineStr"/>
    </row>
    <row r="1066">
      <c r="A1066" s="14" t="inlineStr">
        <is>
          <t>29/06/2026, 11:32:43</t>
        </is>
      </c>
      <c r="B1066" s="14" t="inlineStr">
        <is>
          <t>Maringá Apartamentos 🏘️</t>
        </is>
      </c>
      <c r="C1066" s="14" t="inlineStr">
        <is>
          <t>Massaru Marutaka</t>
        </is>
      </c>
      <c r="D1066" s="14" t="inlineStr"/>
      <c r="E1066" s="14" t="inlineStr">
        <is>
          <t>Apartamento</t>
        </is>
      </c>
      <c r="F1066" s="14" t="inlineStr">
        <is>
          <t>Zona 08</t>
        </is>
      </c>
      <c r="G1066" s="14" t="n">
        <v>211</v>
      </c>
      <c r="H1066" s="14" t="n"/>
      <c r="I1066" s="14" t="n"/>
      <c r="J1066" s="14" t="n"/>
      <c r="K1066" s="14" t="n">
        <v>4</v>
      </c>
      <c r="L1066" s="14" t="n">
        <v>2750000</v>
      </c>
      <c r="M1066" s="14" t="inlineStr">
        <is>
          <t>Edifício Landscape · 23º andar · Zona 08. Com quadra de tênis e beach tênis. 211 m² privativos R$ 2.750.000,00. 04 vagas térreas.</t>
        </is>
      </c>
      <c r="N1066" s="14" t="inlineStr">
        <is>
          <t>Novo</t>
        </is>
      </c>
      <c r="O1066" s="14" t="inlineStr"/>
    </row>
    <row r="1067">
      <c r="A1067" s="14" t="inlineStr">
        <is>
          <t>29/06/2026, 11:36:54</t>
        </is>
      </c>
      <c r="B1067" s="14" t="inlineStr">
        <is>
          <t>Imoveis Maringá e Região</t>
        </is>
      </c>
      <c r="C1067" s="14" t="inlineStr">
        <is>
          <t>Denise Lopes</t>
        </is>
      </c>
      <c r="D1067" s="14" t="inlineStr"/>
      <c r="E1067" s="14" t="inlineStr">
        <is>
          <t>Terreno</t>
        </is>
      </c>
      <c r="F1067" s="14" t="inlineStr">
        <is>
          <t>Maringá</t>
        </is>
      </c>
      <c r="G1067" s="14" t="n">
        <v>250</v>
      </c>
      <c r="H1067" s="14" t="n">
        <v>2</v>
      </c>
      <c r="I1067" s="14" t="n"/>
      <c r="J1067" s="14" t="n"/>
      <c r="K1067" s="14" t="n"/>
      <c r="L1067" s="14" t="n"/>
      <c r="M1067" s="14" t="inlineStr">
        <is>
          <t>Imóvel em Maringá 
Com 250 m2 terreno 
São duas casas no quintal 
Cada uma com 2 dormitórios 
📍1 quadra da Av Kakogawa- Jd Ana Rosa 
Aceita permuta em veículo até 130.000,00</t>
        </is>
      </c>
      <c r="N1067" s="14" t="inlineStr">
        <is>
          <t>Novo</t>
        </is>
      </c>
      <c r="O1067" s="14" t="inlineStr"/>
    </row>
    <row r="1068">
      <c r="A1068" s="14" t="inlineStr">
        <is>
          <t>29/06/2026, 11:41:49</t>
        </is>
      </c>
      <c r="B1068" s="14" t="inlineStr">
        <is>
          <t>Corretores de sucesso 👏🇧🇷🎉🍾🙌🏡</t>
        </is>
      </c>
      <c r="C1068" s="14" t="inlineStr">
        <is>
          <t>Camargo</t>
        </is>
      </c>
      <c r="D1068" s="14" t="inlineStr">
        <is>
          <t>4488341500062</t>
        </is>
      </c>
      <c r="E1068" s="14" t="inlineStr">
        <is>
          <t>Casa</t>
        </is>
      </c>
      <c r="F1068" s="14" t="inlineStr">
        <is>
          <t>Jardim 3 Lagoas</t>
        </is>
      </c>
      <c r="G1068" s="14" t="n">
        <v>162</v>
      </c>
      <c r="H1068" s="14" t="n">
        <v>2</v>
      </c>
      <c r="I1068" s="14" t="n">
        <v>1</v>
      </c>
      <c r="J1068" s="14" t="n"/>
      <c r="K1068" s="14" t="n">
        <v>2</v>
      </c>
      <c r="L1068" s="14" t="n">
        <v>429000</v>
      </c>
      <c r="M1068" s="14" t="inlineStr">
        <is>
          <t>🏡🏡 CASA NOVA NA REGIÃO NORTE JD. 3 LAGOAS 🏡🏡
- Se vc procura uma casa nova com um belo quintal nos fundos . Achou😁
- 1 Suíte + 2 quartos 
- churrasqueira 
- toda em porcelanato 
- preparação para ar condicionado 
- Casa super clara e ventilada 
- 2 vagas 
- TERRENO com 162 M2
- Área construída c</t>
        </is>
      </c>
      <c r="N1068" s="14" t="inlineStr">
        <is>
          <t>Novo</t>
        </is>
      </c>
      <c r="O1068" s="14" t="inlineStr"/>
    </row>
    <row r="1069">
      <c r="A1069" s="14" t="inlineStr">
        <is>
          <t>29/06/2026, 12:18:00</t>
        </is>
      </c>
      <c r="B1069" s="14" t="inlineStr">
        <is>
          <t>Corretores de sucesso 👏🇧🇷🎉🍾🙌🏡</t>
        </is>
      </c>
      <c r="C1069" s="14" t="inlineStr">
        <is>
          <t>Felipe Souza Cruz</t>
        </is>
      </c>
      <c r="D1069" s="14" t="inlineStr"/>
      <c r="E1069" s="14" t="inlineStr">
        <is>
          <t>Apartamento</t>
        </is>
      </c>
      <c r="F1069" s="14" t="inlineStr">
        <is>
          <t>Maringá</t>
        </is>
      </c>
      <c r="G1069" s="14" t="n">
        <v>79</v>
      </c>
      <c r="H1069" s="14" t="n">
        <v>3</v>
      </c>
      <c r="I1069" s="14" t="n">
        <v>1</v>
      </c>
      <c r="J1069" s="14" t="n"/>
      <c r="K1069" s="14" t="n"/>
      <c r="L1069" s="14" t="n">
        <v>657000</v>
      </c>
      <c r="M1069" s="14" t="inlineStr">
        <is>
          <t>Residencial Sequoia 79m² - Excelente Apartamento com 3 Quartos (1 Suíte) Pronto para Morar em Maringá
R. Santo Antônio, 86 - Vila Santo Antonio, Maringá - PR, 87030-520
R$657.000,00
https://fscimob.com.br/imovel/residencial-sequoia-excelente-apartamento-com-3-quartos-1-suite-pronto-para-morar-em-m</t>
        </is>
      </c>
      <c r="N1069" s="14" t="inlineStr">
        <is>
          <t>Novo</t>
        </is>
      </c>
      <c r="O1069" s="14" t="inlineStr"/>
    </row>
    <row r="1070">
      <c r="A1070" s="14" t="inlineStr">
        <is>
          <t>29/06/2026, 14:33:19</t>
        </is>
      </c>
      <c r="B1070" s="14" t="inlineStr">
        <is>
          <t>Maringá Apartamentos 🏘️</t>
        </is>
      </c>
      <c r="C1070" s="14" t="inlineStr">
        <is>
          <t>Mariza Schmidt</t>
        </is>
      </c>
      <c r="D1070" s="14" t="inlineStr"/>
      <c r="E1070" s="14" t="inlineStr">
        <is>
          <t>Apartamento</t>
        </is>
      </c>
      <c r="F1070" s="14" t="inlineStr">
        <is>
          <t>Jardim Acclimação</t>
        </is>
      </c>
      <c r="G1070" s="14" t="n"/>
      <c r="H1070" s="14" t="n">
        <v>3</v>
      </c>
      <c r="I1070" s="14" t="n">
        <v>1</v>
      </c>
      <c r="J1070" s="14" t="n">
        <v>1</v>
      </c>
      <c r="K1070" s="14" t="n"/>
      <c r="L1070" s="14" t="n">
        <v>550000</v>
      </c>
      <c r="M1070" s="14" t="inlineStr">
        <is>
          <t>Semi mobiliado, condomínio completo com piscina, academia, área infantil e salão de festas</t>
        </is>
      </c>
      <c r="N1070" s="14" t="inlineStr">
        <is>
          <t>Novo</t>
        </is>
      </c>
      <c r="O1070" s="14" t="inlineStr"/>
    </row>
    <row r="1071">
      <c r="A1071" s="14" t="inlineStr">
        <is>
          <t>29/06/2026, 14:33:19</t>
        </is>
      </c>
      <c r="B1071" s="14" t="inlineStr">
        <is>
          <t>Maringá Apartamentos 🏘️</t>
        </is>
      </c>
      <c r="C1071" s="14" t="inlineStr">
        <is>
          <t>Mariza Schmidt</t>
        </is>
      </c>
      <c r="D1071" s="14" t="inlineStr"/>
      <c r="E1071" s="14" t="inlineStr">
        <is>
          <t>Apartamento</t>
        </is>
      </c>
      <c r="F1071" s="14" t="inlineStr">
        <is>
          <t>Jardim Aclimaçao</t>
        </is>
      </c>
      <c r="G1071" s="14" t="n"/>
      <c r="H1071" s="14" t="n">
        <v>3</v>
      </c>
      <c r="I1071" s="14" t="n">
        <v>1</v>
      </c>
      <c r="J1071" s="14" t="n">
        <v>1</v>
      </c>
      <c r="K1071" s="14" t="n"/>
      <c r="L1071" s="14" t="n">
        <v>550000</v>
      </c>
      <c r="M1071" s="14" t="inlineStr">
        <is>
          <t>Semi mobiliado, CRECI J10569, condomínio com piscina, academia, área infantil, salão de festas, sacada</t>
        </is>
      </c>
      <c r="N1071" s="14" t="inlineStr">
        <is>
          <t>Novo</t>
        </is>
      </c>
      <c r="O1071" s="14" t="inlineStr"/>
    </row>
    <row r="1072">
      <c r="A1072" s="14" t="inlineStr">
        <is>
          <t>29/06/2026, 14:33:19</t>
        </is>
      </c>
      <c r="B1072" s="14" t="inlineStr">
        <is>
          <t>Maringá Apartamentos 🏘️</t>
        </is>
      </c>
      <c r="C1072" s="14" t="inlineStr">
        <is>
          <t>Mariza Schmidt</t>
        </is>
      </c>
      <c r="D1072" s="14" t="inlineStr"/>
      <c r="E1072" s="14" t="inlineStr">
        <is>
          <t>Apartamento</t>
        </is>
      </c>
      <c r="F1072" s="14" t="inlineStr">
        <is>
          <t>Jardim Aclimaação</t>
        </is>
      </c>
      <c r="G1072" s="14" t="n"/>
      <c r="H1072" s="14" t="n">
        <v>3</v>
      </c>
      <c r="I1072" s="14" t="n">
        <v>1</v>
      </c>
      <c r="J1072" s="14" t="n">
        <v>1</v>
      </c>
      <c r="K1072" s="14" t="n"/>
      <c r="L1072" s="14" t="n">
        <v>550000</v>
      </c>
      <c r="M1072" s="14" t="inlineStr">
        <is>
          <t>Semi mobiliado, CRECI J10569, condomínio com piscina, academia, área infantil e salão de festas</t>
        </is>
      </c>
      <c r="N1072" s="14" t="inlineStr">
        <is>
          <t>Novo</t>
        </is>
      </c>
      <c r="O1072" s="14" t="inlineStr"/>
    </row>
    <row r="1073">
      <c r="A1073" s="14" t="inlineStr">
        <is>
          <t>29/06/2026, 14:33:19</t>
        </is>
      </c>
      <c r="B1073" s="14" t="inlineStr">
        <is>
          <t>Maringá Apartamentos 🏘️</t>
        </is>
      </c>
      <c r="C1073" s="14" t="inlineStr">
        <is>
          <t>Mariza Schmidt</t>
        </is>
      </c>
      <c r="D1073" s="14" t="inlineStr"/>
      <c r="E1073" s="14" t="inlineStr">
        <is>
          <t>Apartamento</t>
        </is>
      </c>
      <c r="F1073" s="14" t="inlineStr">
        <is>
          <t>Jardim Aclimaçao</t>
        </is>
      </c>
      <c r="G1073" s="14" t="n"/>
      <c r="H1073" s="14" t="n">
        <v>3</v>
      </c>
      <c r="I1073" s="14" t="n">
        <v>1</v>
      </c>
      <c r="J1073" s="14" t="n">
        <v>1</v>
      </c>
      <c r="K1073" s="14" t="n"/>
      <c r="L1073" s="14" t="n">
        <v>550000</v>
      </c>
      <c r="M1073" s="14" t="inlineStr">
        <is>
          <t>Semi-mobiliado, condomínio completo com piscina, academia, área infantil, salão de festas, lavenderia e sacada</t>
        </is>
      </c>
      <c r="N1073" s="14" t="inlineStr">
        <is>
          <t>Novo</t>
        </is>
      </c>
      <c r="O1073" s="14" t="inlineStr"/>
    </row>
    <row r="1074">
      <c r="A1074" s="14" t="inlineStr">
        <is>
          <t>29/06/2026, 15:27:43</t>
        </is>
      </c>
      <c r="B1074" s="14" t="inlineStr">
        <is>
          <t>Corretores de sucesso 👏🇧🇷🎉🍾🙌🏡</t>
        </is>
      </c>
      <c r="C1074" s="14" t="inlineStr">
        <is>
          <t>Mirna Ruas</t>
        </is>
      </c>
      <c r="D1074" s="14" t="inlineStr"/>
      <c r="E1074" s="14" t="inlineStr">
        <is>
          <t>Casa</t>
        </is>
      </c>
      <c r="F1074" s="14" t="inlineStr">
        <is>
          <t>Parque das Laranjeiras</t>
        </is>
      </c>
      <c r="G1074" s="14" t="n">
        <v>400</v>
      </c>
      <c r="H1074" s="14" t="n"/>
      <c r="I1074" s="14" t="n"/>
      <c r="J1074" s="14" t="n"/>
      <c r="K1074" s="14" t="n"/>
      <c r="L1074" s="14" t="n">
        <v>850000</v>
      </c>
      <c r="M1074" s="14" t="inlineStr">
        <is>
          <t>Área construída 167m². Espaçosa e arejada. Aceita terreno no mesmo bairro como parte do pagamento.</t>
        </is>
      </c>
      <c r="N1074" s="14" t="inlineStr">
        <is>
          <t>Novo</t>
        </is>
      </c>
      <c r="O1074" s="14" t="inlineStr"/>
    </row>
    <row r="1075">
      <c r="A1075" s="14" t="inlineStr">
        <is>
          <t>29/06/2026, 14:30:16</t>
        </is>
      </c>
      <c r="B1075" s="14" t="inlineStr">
        <is>
          <t>Corretores de sucesso 👏🇧🇷🎉🍾🙌🏡</t>
        </is>
      </c>
      <c r="C1075" s="14" t="inlineStr">
        <is>
          <t>Mirna Ruas</t>
        </is>
      </c>
      <c r="D1075" s="14" t="inlineStr"/>
      <c r="E1075" s="14" t="inlineStr">
        <is>
          <t>Casa</t>
        </is>
      </c>
      <c r="F1075" s="14" t="inlineStr"/>
      <c r="G1075" s="14" t="n"/>
      <c r="H1075" s="14" t="n">
        <v>3</v>
      </c>
      <c r="I1075" s="14" t="n">
        <v>1</v>
      </c>
      <c r="J1075" s="14" t="n">
        <v>2</v>
      </c>
      <c r="K1075" s="14" t="n"/>
      <c r="L1075" s="14" t="n"/>
      <c r="M1075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75" s="14" t="inlineStr">
        <is>
          <t>Novo</t>
        </is>
      </c>
      <c r="O1075" s="14" t="inlineStr"/>
    </row>
    <row r="1076">
      <c r="A1076" s="14" t="inlineStr">
        <is>
          <t>29/06/2026, 14:33:19</t>
        </is>
      </c>
      <c r="B1076" s="14" t="inlineStr">
        <is>
          <t>Maringá Apartamentos 🏘️</t>
        </is>
      </c>
      <c r="C1076" s="14" t="inlineStr">
        <is>
          <t>Mariza Schmidt</t>
        </is>
      </c>
      <c r="D1076" s="14" t="inlineStr"/>
      <c r="E1076" s="14" t="inlineStr">
        <is>
          <t>Apartamento</t>
        </is>
      </c>
      <c r="F1076" s="14" t="inlineStr">
        <is>
          <t>Jardim Aclimaçao</t>
        </is>
      </c>
      <c r="G1076" s="14" t="n"/>
      <c r="H1076" s="14" t="n">
        <v>3</v>
      </c>
      <c r="I1076" s="14" t="n">
        <v>1</v>
      </c>
      <c r="J1076" s="14" t="n">
        <v>1</v>
      </c>
      <c r="K1076" s="14" t="n"/>
      <c r="L1076" s="14" t="n">
        <v>550000</v>
      </c>
      <c r="M1076" s="14" t="inlineStr">
        <is>
          <t>Semi mobiliado, sala de TV/jantar, cozinha, lavanderia, sacada, condomínio com piscina, academia, área infantil, salão de festas</t>
        </is>
      </c>
      <c r="N1076" s="14" t="inlineStr">
        <is>
          <t>Novo</t>
        </is>
      </c>
      <c r="O1076" s="14" t="inlineStr"/>
    </row>
    <row r="1077">
      <c r="A1077" s="14" t="inlineStr">
        <is>
          <t>29/06/2026, 15:27:43</t>
        </is>
      </c>
      <c r="B1077" s="14" t="inlineStr">
        <is>
          <t>Corretores de sucesso 👏🇧🇷🎉🍾🙌🏡</t>
        </is>
      </c>
      <c r="C1077" s="14" t="inlineStr">
        <is>
          <t>Mirna Ruas</t>
        </is>
      </c>
      <c r="D1077" s="14" t="inlineStr"/>
      <c r="E1077" s="14" t="inlineStr">
        <is>
          <t>Casa</t>
        </is>
      </c>
      <c r="F1077" s="14" t="inlineStr">
        <is>
          <t>Parque das Laranjeiras</t>
        </is>
      </c>
      <c r="G1077" s="14" t="n">
        <v>400</v>
      </c>
      <c r="H1077" s="14" t="n"/>
      <c r="I1077" s="14" t="n"/>
      <c r="J1077" s="14" t="n"/>
      <c r="K1077" s="14" t="n"/>
      <c r="L1077" s="14" t="n">
        <v>850000</v>
      </c>
      <c r="M1077" s="14" t="inlineStr">
        <is>
          <t>Área construída: 167m². Espaçosa e arejada. Aceita terreno no mesmo bairro como parte do pagamento.</t>
        </is>
      </c>
      <c r="N1077" s="14" t="inlineStr">
        <is>
          <t>Novo</t>
        </is>
      </c>
      <c r="O1077" s="14" t="inlineStr"/>
    </row>
    <row r="1078">
      <c r="A1078" s="14" t="inlineStr">
        <is>
          <t>29/06/2026, 15:27:43</t>
        </is>
      </c>
      <c r="B1078" s="14" t="inlineStr">
        <is>
          <t>Corretores de sucesso 👏🇧🇷🎉🍾🙌🏡</t>
        </is>
      </c>
      <c r="C1078" s="14" t="inlineStr">
        <is>
          <t>Mirna Ruas</t>
        </is>
      </c>
      <c r="D1078" s="14" t="inlineStr"/>
      <c r="E1078" s="14" t="inlineStr">
        <is>
          <t>Casa</t>
        </is>
      </c>
      <c r="F1078" s="14" t="inlineStr">
        <is>
          <t>Parque das Laranjeiras</t>
        </is>
      </c>
      <c r="G1078" s="14" t="n">
        <v>400</v>
      </c>
      <c r="H1078" s="14" t="n"/>
      <c r="I1078" s="14" t="n"/>
      <c r="J1078" s="14" t="n"/>
      <c r="K1078" s="14" t="n"/>
      <c r="L1078" s="14" t="n">
        <v>850000</v>
      </c>
      <c r="M1078" s="14" t="inlineStr">
        <is>
          <t>Área construída 167m². Espaçosa e arejada. Aceita terreno no mesmo bairro.</t>
        </is>
      </c>
      <c r="N1078" s="14" t="inlineStr">
        <is>
          <t>Novo</t>
        </is>
      </c>
      <c r="O1078" s="14" t="inlineStr"/>
    </row>
    <row r="1079">
      <c r="A1079" s="14" t="inlineStr">
        <is>
          <t>29/06/2026, 15:27:43</t>
        </is>
      </c>
      <c r="B1079" s="14" t="inlineStr">
        <is>
          <t>Corretores de sucesso 👏🇧🇷🎉🍾🙌🏡</t>
        </is>
      </c>
      <c r="C1079" s="14" t="inlineStr">
        <is>
          <t>Mirna Ruas</t>
        </is>
      </c>
      <c r="D1079" s="14" t="inlineStr"/>
      <c r="E1079" s="14" t="inlineStr">
        <is>
          <t>Casa</t>
        </is>
      </c>
      <c r="F1079" s="14" t="inlineStr">
        <is>
          <t>Parque das Laranjeiras</t>
        </is>
      </c>
      <c r="G1079" s="14" t="n">
        <v>400</v>
      </c>
      <c r="H1079" s="14" t="n"/>
      <c r="I1079" s="14" t="n"/>
      <c r="J1079" s="14" t="n"/>
      <c r="K1079" s="14" t="n"/>
      <c r="L1079" s="14" t="n">
        <v>850000</v>
      </c>
      <c r="M1079" s="14" t="inlineStr">
        <is>
          <t>Área construída 167m². Espaçosa e arejada. Aceita terreno no mesmo bairro. Conforto, espaço e localização!</t>
        </is>
      </c>
      <c r="N1079" s="14" t="inlineStr">
        <is>
          <t>Novo</t>
        </is>
      </c>
      <c r="O1079" s="14" t="inlineStr"/>
    </row>
    <row r="1080">
      <c r="A1080" s="14" t="inlineStr">
        <is>
          <t>29/06/2026, 14:33:19</t>
        </is>
      </c>
      <c r="B1080" s="14" t="inlineStr">
        <is>
          <t>Maringá Apartamentos 🏘️</t>
        </is>
      </c>
      <c r="C1080" s="14" t="inlineStr">
        <is>
          <t>Mariza Schmidt</t>
        </is>
      </c>
      <c r="D1080" s="14" t="inlineStr"/>
      <c r="E1080" s="14" t="inlineStr">
        <is>
          <t>Apartamento</t>
        </is>
      </c>
      <c r="F1080" s="14" t="inlineStr">
        <is>
          <t>Jardim Aclimaçao</t>
        </is>
      </c>
      <c r="G1080" s="14" t="n"/>
      <c r="H1080" s="14" t="n">
        <v>3</v>
      </c>
      <c r="I1080" s="14" t="n">
        <v>1</v>
      </c>
      <c r="J1080" s="14" t="n">
        <v>1</v>
      </c>
      <c r="K1080" s="14" t="n"/>
      <c r="L1080" s="14" t="n">
        <v>550000</v>
      </c>
      <c r="M1080" s="14" t="inlineStr">
        <is>
          <t>Semi mobiliado, condomínio completo com piscina, academia, área infantil, salão de festas, sacada</t>
        </is>
      </c>
      <c r="N1080" s="14" t="inlineStr">
        <is>
          <t>Novo</t>
        </is>
      </c>
      <c r="O1080" s="14" t="inlineStr"/>
    </row>
    <row r="1081">
      <c r="A1081" s="14" t="inlineStr">
        <is>
          <t>29/06/2026, 15:27:43</t>
        </is>
      </c>
      <c r="B1081" s="14" t="inlineStr">
        <is>
          <t>Corretores de sucesso 👏🇧🇷🎉🍾🙌🏡</t>
        </is>
      </c>
      <c r="C1081" s="14" t="inlineStr">
        <is>
          <t>Mirna Ruas</t>
        </is>
      </c>
      <c r="D1081" s="14" t="inlineStr"/>
      <c r="E1081" s="14" t="inlineStr">
        <is>
          <t>Casa</t>
        </is>
      </c>
      <c r="F1081" s="14" t="inlineStr">
        <is>
          <t>Parque das Laranjeiras</t>
        </is>
      </c>
      <c r="G1081" s="14" t="n">
        <v>400</v>
      </c>
      <c r="H1081" s="14" t="n"/>
      <c r="I1081" s="14" t="n"/>
      <c r="J1081" s="14" t="n"/>
      <c r="K1081" s="14" t="n"/>
      <c r="L1081" s="14" t="n">
        <v>850000</v>
      </c>
      <c r="M1081" s="14" t="inlineStr">
        <is>
          <t>Área construída: 167m². Espaçosa e arejada. Aceita terreno no mesmo bairro.</t>
        </is>
      </c>
      <c r="N1081" s="14" t="inlineStr">
        <is>
          <t>Novo</t>
        </is>
      </c>
      <c r="O1081" s="14" t="inlineStr"/>
    </row>
    <row r="1082">
      <c r="A1082" s="14" t="inlineStr">
        <is>
          <t>29/06/2026, 15:27:43</t>
        </is>
      </c>
      <c r="B1082" s="14" t="inlineStr">
        <is>
          <t>Corretores de sucesso 👏🇧🇷🎉🍾🙌🏡</t>
        </is>
      </c>
      <c r="C1082" s="14" t="inlineStr">
        <is>
          <t>Mirna Ruas</t>
        </is>
      </c>
      <c r="D1082" s="14" t="inlineStr"/>
      <c r="E1082" s="14" t="inlineStr">
        <is>
          <t>Casa</t>
        </is>
      </c>
      <c r="F1082" s="14" t="inlineStr">
        <is>
          <t>Parque das Laranjeiras</t>
        </is>
      </c>
      <c r="G1082" s="14" t="n">
        <v>400</v>
      </c>
      <c r="H1082" s="14" t="n"/>
      <c r="I1082" s="14" t="n"/>
      <c r="J1082" s="14" t="n"/>
      <c r="K1082" s="14" t="n"/>
      <c r="L1082" s="14" t="n">
        <v>850000</v>
      </c>
      <c r="M1082" s="14" t="inlineStr">
        <is>
          <t>Área total 400m². Área construída 167m². Espaçosa e arejada. Aceita terreno no mesmo bairro. Corretor: Mirna Ruas</t>
        </is>
      </c>
      <c r="N1082" s="14" t="inlineStr">
        <is>
          <t>Novo</t>
        </is>
      </c>
      <c r="O1082" s="14" t="inlineStr"/>
    </row>
    <row r="1083">
      <c r="A1083" s="14" t="inlineStr">
        <is>
          <t>29/06/2026, 16:10:23</t>
        </is>
      </c>
      <c r="B1083" s="14" t="inlineStr">
        <is>
          <t>Imoveis Maringá e Região</t>
        </is>
      </c>
      <c r="C1083" s="14" t="inlineStr">
        <is>
          <t>Alison Telles</t>
        </is>
      </c>
      <c r="D1083" s="14" t="inlineStr"/>
      <c r="E1083" s="14" t="inlineStr">
        <is>
          <t>Casa</t>
        </is>
      </c>
      <c r="F1083" s="14" t="inlineStr">
        <is>
          <t>Jardim Fregadoli</t>
        </is>
      </c>
      <c r="G1083" s="14" t="n">
        <v>116</v>
      </c>
      <c r="H1083" s="14" t="n">
        <v>3</v>
      </c>
      <c r="I1083" s="14" t="n">
        <v>1</v>
      </c>
      <c r="J1083" s="14" t="n">
        <v>2</v>
      </c>
      <c r="K1083" s="14" t="n">
        <v>2</v>
      </c>
      <c r="L1083" s="14" t="n">
        <v>890000</v>
      </c>
      <c r="M1083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83" s="14" t="inlineStr">
        <is>
          <t>Novo</t>
        </is>
      </c>
      <c r="O1083" s="14" t="inlineStr"/>
    </row>
    <row r="1084">
      <c r="A1084" s="14" t="inlineStr">
        <is>
          <t>29/06/2026, 16:10:50</t>
        </is>
      </c>
      <c r="B1084" s="14" t="inlineStr">
        <is>
          <t>Corretores de sucesso 👏🇧🇷🎉🍾🙌🏡</t>
        </is>
      </c>
      <c r="C1084" s="14" t="inlineStr">
        <is>
          <t>Alison Telles</t>
        </is>
      </c>
      <c r="D1084" s="14" t="inlineStr"/>
      <c r="E1084" s="14" t="inlineStr">
        <is>
          <t>Apartamento</t>
        </is>
      </c>
      <c r="F1084" s="14" t="inlineStr">
        <is>
          <t>Zona 08</t>
        </is>
      </c>
      <c r="G1084" s="14" t="n">
        <v>83</v>
      </c>
      <c r="H1084" s="14" t="n">
        <v>1</v>
      </c>
      <c r="I1084" s="14" t="n">
        <v>1</v>
      </c>
      <c r="J1084" s="14" t="n">
        <v>2</v>
      </c>
      <c r="K1084" s="14" t="n">
        <v>2</v>
      </c>
      <c r="L1084" s="14" t="n">
        <v>950000</v>
      </c>
      <c r="M1084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84" s="14" t="inlineStr">
        <is>
          <t>Novo</t>
        </is>
      </c>
      <c r="O1084" s="14" t="inlineStr"/>
    </row>
    <row r="1085">
      <c r="A1085" s="14" t="inlineStr">
        <is>
          <t>29/06/2026, 15:27:43</t>
        </is>
      </c>
      <c r="B1085" s="14" t="inlineStr">
        <is>
          <t>Corretores de sucesso 👏🇧🇷🎉🍾🙌🏡</t>
        </is>
      </c>
      <c r="C1085" s="14" t="inlineStr">
        <is>
          <t>Mirna Ruas</t>
        </is>
      </c>
      <c r="D1085" s="14" t="inlineStr"/>
      <c r="E1085" s="14" t="inlineStr">
        <is>
          <t>Casa</t>
        </is>
      </c>
      <c r="F1085" s="14" t="inlineStr">
        <is>
          <t>Parque das Laranjeiras</t>
        </is>
      </c>
      <c r="G1085" s="14" t="n">
        <v>400</v>
      </c>
      <c r="H1085" s="14" t="n"/>
      <c r="I1085" s="14" t="n"/>
      <c r="J1085" s="14" t="n"/>
      <c r="K1085" s="14" t="n"/>
      <c r="L1085" s="14" t="n">
        <v>850000</v>
      </c>
      <c r="M1085" s="14" t="inlineStr">
        <is>
          <t>Área construída 167m², espaçosa e arejada, aceita terreno no mesmo bairro</t>
        </is>
      </c>
      <c r="N1085" s="14" t="inlineStr">
        <is>
          <t>Novo</t>
        </is>
      </c>
      <c r="O1085" s="14" t="inlineStr"/>
    </row>
    <row r="1086">
      <c r="A1086" s="14" t="inlineStr">
        <is>
          <t>29/06/2026, 14:30:16</t>
        </is>
      </c>
      <c r="B1086" s="14" t="inlineStr">
        <is>
          <t>Corretores de sucesso 👏🇧🇷🎉🍾🙌🏡</t>
        </is>
      </c>
      <c r="C1086" s="14" t="inlineStr">
        <is>
          <t>Mirna Ruas</t>
        </is>
      </c>
      <c r="D1086" s="14" t="inlineStr"/>
      <c r="E1086" s="14" t="inlineStr">
        <is>
          <t>Casa</t>
        </is>
      </c>
      <c r="F1086" s="14" t="inlineStr"/>
      <c r="G1086" s="14" t="n"/>
      <c r="H1086" s="14" t="n">
        <v>3</v>
      </c>
      <c r="I1086" s="14" t="n">
        <v>1</v>
      </c>
      <c r="J1086" s="14" t="n">
        <v>2</v>
      </c>
      <c r="K1086" s="14" t="n"/>
      <c r="L1086" s="14" t="n"/>
      <c r="M1086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86" s="14" t="inlineStr">
        <is>
          <t>Novo</t>
        </is>
      </c>
      <c r="O1086" s="14" t="inlineStr"/>
    </row>
    <row r="1087">
      <c r="A1087" s="14" t="inlineStr">
        <is>
          <t>29/06/2026, 14:33:19</t>
        </is>
      </c>
      <c r="B1087" s="14" t="inlineStr">
        <is>
          <t>Maringá Apartamentos 🏘️</t>
        </is>
      </c>
      <c r="C1087" s="14" t="inlineStr">
        <is>
          <t>Mariza Schmidt</t>
        </is>
      </c>
      <c r="D1087" s="14" t="inlineStr"/>
      <c r="E1087" s="14" t="inlineStr">
        <is>
          <t>Apartamento</t>
        </is>
      </c>
      <c r="F1087" s="14" t="inlineStr">
        <is>
          <t>Jardim Aclimaçao</t>
        </is>
      </c>
      <c r="G1087" s="14" t="n"/>
      <c r="H1087" s="14" t="n">
        <v>3</v>
      </c>
      <c r="I1087" s="14" t="n">
        <v>1</v>
      </c>
      <c r="J1087" s="14" t="n">
        <v>1</v>
      </c>
      <c r="K1087" s="14" t="n"/>
      <c r="L1087" s="14" t="n">
        <v>550000</v>
      </c>
      <c r="M1087" s="14" t="inlineStr">
        <is>
          <t>Semi-mobiliado, CRECI J10569, condomínio completo com piscina, academia, área infantil e salão de festas, sacada</t>
        </is>
      </c>
      <c r="N1087" s="14" t="inlineStr">
        <is>
          <t>Novo</t>
        </is>
      </c>
      <c r="O1087" s="14" t="inlineStr"/>
    </row>
    <row r="1088">
      <c r="A1088" s="14" t="inlineStr">
        <is>
          <t>29/06/2026, 15:27:43</t>
        </is>
      </c>
      <c r="B1088" s="14" t="inlineStr">
        <is>
          <t>Corretores de sucesso 👏🇧🇷🎉🍾🙌🏡</t>
        </is>
      </c>
      <c r="C1088" s="14" t="inlineStr">
        <is>
          <t>Mirna Ruas</t>
        </is>
      </c>
      <c r="D1088" s="14" t="inlineStr"/>
      <c r="E1088" s="14" t="inlineStr">
        <is>
          <t>Casa</t>
        </is>
      </c>
      <c r="F1088" s="14" t="inlineStr">
        <is>
          <t>Parque das Laranjeiras</t>
        </is>
      </c>
      <c r="G1088" s="14" t="n">
        <v>400</v>
      </c>
      <c r="H1088" s="14" t="n"/>
      <c r="I1088" s="14" t="n"/>
      <c r="J1088" s="14" t="n"/>
      <c r="K1088" s="14" t="n"/>
      <c r="L1088" s="14" t="n">
        <v>850000</v>
      </c>
      <c r="M1088" s="14" t="inlineStr">
        <is>
          <t>Área construída 167m², espaçosa e arejada, aceita terreno no mesmo bairro como parte do pagamento</t>
        </is>
      </c>
      <c r="N1088" s="14" t="inlineStr">
        <is>
          <t>Novo</t>
        </is>
      </c>
      <c r="O1088" s="14" t="inlineStr"/>
    </row>
    <row r="1089">
      <c r="A1089" s="14" t="inlineStr">
        <is>
          <t>29/06/2026, 16:10:23</t>
        </is>
      </c>
      <c r="B1089" s="14" t="inlineStr">
        <is>
          <t>Imoveis Maringá e Região</t>
        </is>
      </c>
      <c r="C1089" s="14" t="inlineStr">
        <is>
          <t>Alison Telles</t>
        </is>
      </c>
      <c r="D1089" s="14" t="inlineStr"/>
      <c r="E1089" s="14" t="inlineStr">
        <is>
          <t>Casa</t>
        </is>
      </c>
      <c r="F1089" s="14" t="inlineStr">
        <is>
          <t>Jardim Fregadoli</t>
        </is>
      </c>
      <c r="G1089" s="14" t="n">
        <v>116</v>
      </c>
      <c r="H1089" s="14" t="n">
        <v>3</v>
      </c>
      <c r="I1089" s="14" t="n">
        <v>1</v>
      </c>
      <c r="J1089" s="14" t="n">
        <v>2</v>
      </c>
      <c r="K1089" s="14" t="n">
        <v>2</v>
      </c>
      <c r="L1089" s="14" t="n">
        <v>890000</v>
      </c>
      <c r="M1089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89" s="14" t="inlineStr">
        <is>
          <t>Novo</t>
        </is>
      </c>
      <c r="O1089" s="14" t="inlineStr"/>
    </row>
    <row r="1090">
      <c r="A1090" s="14" t="inlineStr">
        <is>
          <t>29/06/2026, 16:10:50</t>
        </is>
      </c>
      <c r="B1090" s="14" t="inlineStr">
        <is>
          <t>Corretores de sucesso 👏🇧🇷🎉🍾🙌🏡</t>
        </is>
      </c>
      <c r="C1090" s="14" t="inlineStr">
        <is>
          <t>Alison Telles</t>
        </is>
      </c>
      <c r="D1090" s="14" t="inlineStr"/>
      <c r="E1090" s="14" t="inlineStr">
        <is>
          <t>Apartamento</t>
        </is>
      </c>
      <c r="F1090" s="14" t="inlineStr">
        <is>
          <t>Zona 08</t>
        </is>
      </c>
      <c r="G1090" s="14" t="n">
        <v>83</v>
      </c>
      <c r="H1090" s="14" t="n">
        <v>1</v>
      </c>
      <c r="I1090" s="14" t="n">
        <v>1</v>
      </c>
      <c r="J1090" s="14" t="n">
        <v>2</v>
      </c>
      <c r="K1090" s="14" t="n">
        <v>2</v>
      </c>
      <c r="L1090" s="14" t="n">
        <v>950000</v>
      </c>
      <c r="M1090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90" s="14" t="inlineStr">
        <is>
          <t>Novo</t>
        </is>
      </c>
      <c r="O1090" s="14" t="inlineStr"/>
    </row>
    <row r="1091">
      <c r="A1091" s="14" t="inlineStr">
        <is>
          <t>29/06/2026, 14:30:16</t>
        </is>
      </c>
      <c r="B1091" s="14" t="inlineStr">
        <is>
          <t>Corretores de sucesso 👏🇧🇷🎉🍾🙌🏡</t>
        </is>
      </c>
      <c r="C1091" s="14" t="inlineStr">
        <is>
          <t>Mirna Ruas</t>
        </is>
      </c>
      <c r="D1091" s="14" t="inlineStr"/>
      <c r="E1091" s="14" t="inlineStr">
        <is>
          <t>Casa</t>
        </is>
      </c>
      <c r="F1091" s="14" t="inlineStr"/>
      <c r="G1091" s="14" t="n"/>
      <c r="H1091" s="14" t="n">
        <v>3</v>
      </c>
      <c r="I1091" s="14" t="n">
        <v>1</v>
      </c>
      <c r="J1091" s="14" t="n">
        <v>2</v>
      </c>
      <c r="K1091" s="14" t="n"/>
      <c r="L1091" s="14" t="n"/>
      <c r="M1091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91" s="14" t="inlineStr">
        <is>
          <t>Novo</t>
        </is>
      </c>
      <c r="O1091" s="14" t="inlineStr"/>
    </row>
    <row r="1092">
      <c r="A1092" s="14" t="inlineStr">
        <is>
          <t>29/06/2026, 14:33:19</t>
        </is>
      </c>
      <c r="B1092" s="14" t="inlineStr">
        <is>
          <t>Maringá Apartamentos 🏘️</t>
        </is>
      </c>
      <c r="C1092" s="14" t="inlineStr">
        <is>
          <t>Mariza Schmidt</t>
        </is>
      </c>
      <c r="D1092" s="14" t="inlineStr"/>
      <c r="E1092" s="14" t="inlineStr">
        <is>
          <t>Apartamento</t>
        </is>
      </c>
      <c r="F1092" s="14" t="inlineStr">
        <is>
          <t>Jardim Acilmação</t>
        </is>
      </c>
      <c r="G1092" s="14" t="n"/>
      <c r="H1092" s="14" t="n">
        <v>3</v>
      </c>
      <c r="I1092" s="14" t="n">
        <v>1</v>
      </c>
      <c r="J1092" s="14" t="n">
        <v>1</v>
      </c>
      <c r="K1092" s="14" t="n"/>
      <c r="L1092" s="14" t="n">
        <v>550000</v>
      </c>
      <c r="M1092" s="14" t="inlineStr">
        <is>
          <t>Semi mobiliado, condomínio com piscina, academia, área infantil, salão de festas, CRECI J10569</t>
        </is>
      </c>
      <c r="N1092" s="14" t="inlineStr">
        <is>
          <t>Novo</t>
        </is>
      </c>
      <c r="O1092" s="14" t="inlineStr"/>
    </row>
    <row r="1093">
      <c r="A1093" s="14" t="inlineStr">
        <is>
          <t>29/06/2026, 15:27:43</t>
        </is>
      </c>
      <c r="B1093" s="14" t="inlineStr">
        <is>
          <t>Corretores de sucesso 👏🇧🇷🎉🍾🙌🏡</t>
        </is>
      </c>
      <c r="C1093" s="14" t="inlineStr">
        <is>
          <t>Mirna Ruas</t>
        </is>
      </c>
      <c r="D1093" s="14" t="inlineStr"/>
      <c r="E1093" s="14" t="inlineStr">
        <is>
          <t>Casa</t>
        </is>
      </c>
      <c r="F1093" s="14" t="inlineStr">
        <is>
          <t>Parque das Laranjeiras</t>
        </is>
      </c>
      <c r="G1093" s="14" t="n">
        <v>400</v>
      </c>
      <c r="H1093" s="14" t="n"/>
      <c r="I1093" s="14" t="n"/>
      <c r="J1093" s="14" t="n"/>
      <c r="K1093" s="14" t="n"/>
      <c r="L1093" s="14" t="n">
        <v>850000</v>
      </c>
      <c r="M1093" s="14" t="inlineStr">
        <is>
          <t>Área construída: 167m². Espaçosa e arejada. Aceita terreno no mesmo bairro como parte do pagamento.</t>
        </is>
      </c>
      <c r="N1093" s="14" t="inlineStr">
        <is>
          <t>Novo</t>
        </is>
      </c>
      <c r="O1093" s="14" t="inlineStr"/>
    </row>
    <row r="1094">
      <c r="A1094" s="14" t="inlineStr">
        <is>
          <t>29/06/2026, 16:10:23</t>
        </is>
      </c>
      <c r="B1094" s="14" t="inlineStr">
        <is>
          <t>Imoveis Maringá e Região</t>
        </is>
      </c>
      <c r="C1094" s="14" t="inlineStr">
        <is>
          <t>Alison Telles</t>
        </is>
      </c>
      <c r="D1094" s="14" t="inlineStr"/>
      <c r="E1094" s="14" t="inlineStr">
        <is>
          <t>Casa</t>
        </is>
      </c>
      <c r="F1094" s="14" t="inlineStr">
        <is>
          <t>Jardim Fregadoli</t>
        </is>
      </c>
      <c r="G1094" s="14" t="n">
        <v>116</v>
      </c>
      <c r="H1094" s="14" t="n">
        <v>3</v>
      </c>
      <c r="I1094" s="14" t="n">
        <v>1</v>
      </c>
      <c r="J1094" s="14" t="n">
        <v>2</v>
      </c>
      <c r="K1094" s="14" t="n">
        <v>2</v>
      </c>
      <c r="L1094" s="14" t="n">
        <v>890000</v>
      </c>
      <c r="M1094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94" s="14" t="inlineStr">
        <is>
          <t>Novo</t>
        </is>
      </c>
      <c r="O1094" s="14" t="inlineStr"/>
    </row>
    <row r="1095">
      <c r="A1095" s="14" t="inlineStr">
        <is>
          <t>29/06/2026, 16:10:50</t>
        </is>
      </c>
      <c r="B1095" s="14" t="inlineStr">
        <is>
          <t>Corretores de sucesso 👏🇧🇷🎉🍾🙌🏡</t>
        </is>
      </c>
      <c r="C1095" s="14" t="inlineStr">
        <is>
          <t>Alison Telles</t>
        </is>
      </c>
      <c r="D1095" s="14" t="inlineStr"/>
      <c r="E1095" s="14" t="inlineStr">
        <is>
          <t>Apartamento</t>
        </is>
      </c>
      <c r="F1095" s="14" t="inlineStr">
        <is>
          <t>Zona 08</t>
        </is>
      </c>
      <c r="G1095" s="14" t="n">
        <v>83</v>
      </c>
      <c r="H1095" s="14" t="n">
        <v>1</v>
      </c>
      <c r="I1095" s="14" t="n">
        <v>1</v>
      </c>
      <c r="J1095" s="14" t="n">
        <v>2</v>
      </c>
      <c r="K1095" s="14" t="n">
        <v>2</v>
      </c>
      <c r="L1095" s="14" t="n">
        <v>950000</v>
      </c>
      <c r="M1095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95" s="14" t="inlineStr">
        <is>
          <t>Novo</t>
        </is>
      </c>
      <c r="O1095" s="14" t="inlineStr"/>
    </row>
    <row r="1096">
      <c r="A1096" s="14" t="inlineStr">
        <is>
          <t>29/06/2026, 14:30:16</t>
        </is>
      </c>
      <c r="B1096" s="14" t="inlineStr">
        <is>
          <t>Corretores de sucesso 👏🇧🇷🎉🍾🙌🏡</t>
        </is>
      </c>
      <c r="C1096" s="14" t="inlineStr">
        <is>
          <t>Mirna Ruas</t>
        </is>
      </c>
      <c r="D1096" s="14" t="inlineStr"/>
      <c r="E1096" s="14" t="inlineStr">
        <is>
          <t>Casa</t>
        </is>
      </c>
      <c r="F1096" s="14" t="inlineStr"/>
      <c r="G1096" s="14" t="n"/>
      <c r="H1096" s="14" t="n">
        <v>3</v>
      </c>
      <c r="I1096" s="14" t="n">
        <v>1</v>
      </c>
      <c r="J1096" s="14" t="n">
        <v>2</v>
      </c>
      <c r="K1096" s="14" t="n"/>
      <c r="L1096" s="14" t="n"/>
      <c r="M1096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96" s="14" t="inlineStr">
        <is>
          <t>Novo</t>
        </is>
      </c>
      <c r="O1096" s="14" t="inlineStr"/>
    </row>
    <row r="1097">
      <c r="A1097" s="14" t="inlineStr">
        <is>
          <t>29/06/2026, 14:33:19</t>
        </is>
      </c>
      <c r="B1097" s="14" t="inlineStr">
        <is>
          <t>Maringá Apartamentos 🏘️</t>
        </is>
      </c>
      <c r="C1097" s="14" t="inlineStr">
        <is>
          <t>Mariza Schmidt</t>
        </is>
      </c>
      <c r="D1097" s="14" t="inlineStr"/>
      <c r="E1097" s="14" t="inlineStr">
        <is>
          <t>Apartamento</t>
        </is>
      </c>
      <c r="F1097" s="14" t="inlineStr">
        <is>
          <t>Jardim Aclimaçao</t>
        </is>
      </c>
      <c r="G1097" s="14" t="n"/>
      <c r="H1097" s="14" t="n">
        <v>3</v>
      </c>
      <c r="I1097" s="14" t="n">
        <v>1</v>
      </c>
      <c r="J1097" s="14" t="n">
        <v>1</v>
      </c>
      <c r="K1097" s="14" t="n"/>
      <c r="L1097" s="14" t="n">
        <v>550000</v>
      </c>
      <c r="M1097" s="14" t="inlineStr">
        <is>
          <t>Semi mobiliado, CRECI J10569, condomínio com piscina, academia, área infantil, salão de festas, sacada</t>
        </is>
      </c>
      <c r="N1097" s="14" t="inlineStr">
        <is>
          <t>Novo</t>
        </is>
      </c>
      <c r="O1097" s="14" t="inlineStr"/>
    </row>
    <row r="1098">
      <c r="A1098" s="14" t="inlineStr">
        <is>
          <t>29/06/2026, 15:27:43</t>
        </is>
      </c>
      <c r="B1098" s="14" t="inlineStr">
        <is>
          <t>Corretores de sucesso 👏🇧🇷🎉🍾🙌🏡</t>
        </is>
      </c>
      <c r="C1098" s="14" t="inlineStr">
        <is>
          <t>Mirna Ruas</t>
        </is>
      </c>
      <c r="D1098" s="14" t="inlineStr"/>
      <c r="E1098" s="14" t="inlineStr">
        <is>
          <t>Casa</t>
        </is>
      </c>
      <c r="F1098" s="14" t="inlineStr">
        <is>
          <t>Parque das Laranjeiras</t>
        </is>
      </c>
      <c r="G1098" s="14" t="n">
        <v>400</v>
      </c>
      <c r="H1098" s="14" t="n"/>
      <c r="I1098" s="14" t="n"/>
      <c r="J1098" s="14" t="n"/>
      <c r="K1098" s="14" t="n"/>
      <c r="L1098" s="14" t="n">
        <v>850000</v>
      </c>
      <c r="M1098" s="14" t="inlineStr">
        <is>
          <t>Área construída: 167m². Espaçosa e arejada. Aceita terreno no mesmo bairro como parte de pagamento.</t>
        </is>
      </c>
      <c r="N1098" s="14" t="inlineStr">
        <is>
          <t>Novo</t>
        </is>
      </c>
      <c r="O1098" s="14" t="inlineStr"/>
    </row>
    <row r="1099">
      <c r="A1099" s="14" t="inlineStr">
        <is>
          <t>29/06/2026, 16:10:23</t>
        </is>
      </c>
      <c r="B1099" s="14" t="inlineStr">
        <is>
          <t>Imoveis Maringá e Região</t>
        </is>
      </c>
      <c r="C1099" s="14" t="inlineStr">
        <is>
          <t>Alison Telles</t>
        </is>
      </c>
      <c r="D1099" s="14" t="inlineStr"/>
      <c r="E1099" s="14" t="inlineStr">
        <is>
          <t>Casa</t>
        </is>
      </c>
      <c r="F1099" s="14" t="inlineStr">
        <is>
          <t>Jardim Fregadoli</t>
        </is>
      </c>
      <c r="G1099" s="14" t="n">
        <v>116</v>
      </c>
      <c r="H1099" s="14" t="n">
        <v>3</v>
      </c>
      <c r="I1099" s="14" t="n">
        <v>1</v>
      </c>
      <c r="J1099" s="14" t="n">
        <v>2</v>
      </c>
      <c r="K1099" s="14" t="n">
        <v>2</v>
      </c>
      <c r="L1099" s="14" t="n">
        <v>890000</v>
      </c>
      <c r="M1099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99" s="14" t="inlineStr">
        <is>
          <t>Novo</t>
        </is>
      </c>
      <c r="O1099" s="14" t="inlineStr"/>
    </row>
    <row r="1100">
      <c r="A1100" s="14" t="inlineStr">
        <is>
          <t>29/06/2026, 16:10:50</t>
        </is>
      </c>
      <c r="B1100" s="14" t="inlineStr">
        <is>
          <t>Corretores de sucesso 👏🇧🇷🎉🍾🙌🏡</t>
        </is>
      </c>
      <c r="C1100" s="14" t="inlineStr">
        <is>
          <t>Alison Telles</t>
        </is>
      </c>
      <c r="D1100" s="14" t="inlineStr"/>
      <c r="E1100" s="14" t="inlineStr">
        <is>
          <t>Apartamento</t>
        </is>
      </c>
      <c r="F1100" s="14" t="inlineStr">
        <is>
          <t>Zona 08</t>
        </is>
      </c>
      <c r="G1100" s="14" t="n">
        <v>83</v>
      </c>
      <c r="H1100" s="14" t="n">
        <v>1</v>
      </c>
      <c r="I1100" s="14" t="n">
        <v>1</v>
      </c>
      <c r="J1100" s="14" t="n">
        <v>2</v>
      </c>
      <c r="K1100" s="14" t="n">
        <v>2</v>
      </c>
      <c r="L1100" s="14" t="n">
        <v>950000</v>
      </c>
      <c r="M1100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00" s="14" t="inlineStr">
        <is>
          <t>Novo</t>
        </is>
      </c>
      <c r="O1100" s="14" t="inlineStr"/>
    </row>
    <row r="1101">
      <c r="A1101" s="14" t="inlineStr">
        <is>
          <t>29/06/2026, 16:37:30</t>
        </is>
      </c>
      <c r="B1101" s="14" t="inlineStr">
        <is>
          <t>Imoveis Maringá e Região</t>
        </is>
      </c>
      <c r="C1101" s="14" t="inlineStr">
        <is>
          <t>Odair</t>
        </is>
      </c>
      <c r="D1101" s="14" t="inlineStr"/>
      <c r="E1101" s="14" t="inlineStr">
        <is>
          <t>Casa</t>
        </is>
      </c>
      <c r="F1101" s="14" t="inlineStr">
        <is>
          <t>Bom Jardim</t>
        </is>
      </c>
      <c r="G1101" s="14" t="n"/>
      <c r="H1101" s="14" t="n">
        <v>2</v>
      </c>
      <c r="I1101" s="14" t="n">
        <v>1</v>
      </c>
      <c r="J1101" s="14" t="n">
        <v>2</v>
      </c>
      <c r="K1101" s="14" t="n"/>
      <c r="L1101" s="14" t="n"/>
      <c r="M1101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01" s="14" t="inlineStr">
        <is>
          <t>Novo</t>
        </is>
      </c>
      <c r="O1101" s="14" t="inlineStr"/>
    </row>
    <row r="1102">
      <c r="A1102" s="14" t="inlineStr">
        <is>
          <t>29/06/2026, 14:30:17</t>
        </is>
      </c>
      <c r="B1102" s="14" t="inlineStr">
        <is>
          <t>Corretores de sucesso 👏🇧🇷🎉🍾🙌🏡</t>
        </is>
      </c>
      <c r="C1102" s="14" t="inlineStr">
        <is>
          <t>Mirna Ruas</t>
        </is>
      </c>
      <c r="D1102" s="14" t="inlineStr"/>
      <c r="E1102" s="14" t="inlineStr">
        <is>
          <t>Casa</t>
        </is>
      </c>
      <c r="F1102" s="14" t="inlineStr"/>
      <c r="G1102" s="14" t="n"/>
      <c r="H1102" s="14" t="n">
        <v>3</v>
      </c>
      <c r="I1102" s="14" t="n">
        <v>1</v>
      </c>
      <c r="J1102" s="14" t="n">
        <v>2</v>
      </c>
      <c r="K1102" s="14" t="n"/>
      <c r="L1102" s="14" t="n"/>
      <c r="M1102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02" s="14" t="inlineStr">
        <is>
          <t>Novo</t>
        </is>
      </c>
      <c r="O1102" s="14" t="inlineStr"/>
    </row>
    <row r="1103">
      <c r="A1103" s="14" t="inlineStr">
        <is>
          <t>29/06/2026, 14:33:19</t>
        </is>
      </c>
      <c r="B1103" s="14" t="inlineStr">
        <is>
          <t>Maringá Apartamentos 🏘️</t>
        </is>
      </c>
      <c r="C1103" s="14" t="inlineStr">
        <is>
          <t>Mariza Schmidt</t>
        </is>
      </c>
      <c r="D1103" s="14" t="inlineStr"/>
      <c r="E1103" s="14" t="inlineStr">
        <is>
          <t>Apartamento</t>
        </is>
      </c>
      <c r="F1103" s="14" t="inlineStr">
        <is>
          <t>Jardim Aclimaçao</t>
        </is>
      </c>
      <c r="G1103" s="14" t="n"/>
      <c r="H1103" s="14" t="n">
        <v>3</v>
      </c>
      <c r="I1103" s="14" t="n">
        <v>1</v>
      </c>
      <c r="J1103" s="14" t="n">
        <v>1</v>
      </c>
      <c r="K1103" s="14" t="n"/>
      <c r="L1103" s="14" t="n">
        <v>550000</v>
      </c>
      <c r="M1103" s="14" t="inlineStr">
        <is>
          <t>Semi mobiliado, CRECI J10569, condomínio com piscina, academia, área infantil e salão de festas</t>
        </is>
      </c>
      <c r="N1103" s="14" t="inlineStr">
        <is>
          <t>Novo</t>
        </is>
      </c>
      <c r="O1103" s="14" t="inlineStr"/>
    </row>
    <row r="1104">
      <c r="A1104" s="14" t="inlineStr">
        <is>
          <t>29/06/2026, 15:27:43</t>
        </is>
      </c>
      <c r="B1104" s="14" t="inlineStr">
        <is>
          <t>Corretores de sucesso 👏🇧🇷🎉🍾🙌🏡</t>
        </is>
      </c>
      <c r="C1104" s="14" t="inlineStr">
        <is>
          <t>Mirna Ruas</t>
        </is>
      </c>
      <c r="D1104" s="14" t="inlineStr"/>
      <c r="E1104" s="14" t="inlineStr">
        <is>
          <t>Casa</t>
        </is>
      </c>
      <c r="F1104" s="14" t="inlineStr">
        <is>
          <t>Parque das Laranjeiras</t>
        </is>
      </c>
      <c r="G1104" s="14" t="n">
        <v>400</v>
      </c>
      <c r="H1104" s="14" t="n"/>
      <c r="I1104" s="14" t="n"/>
      <c r="J1104" s="14" t="n"/>
      <c r="K1104" s="14" t="n"/>
      <c r="L1104" s="14" t="n">
        <v>850000</v>
      </c>
      <c r="M1104" s="14" t="inlineStr">
        <is>
          <t>Área construída 167m². Espaçosa e arejada. Aceita terreno no mesmo bairro como parte do pagamento.</t>
        </is>
      </c>
      <c r="N1104" s="14" t="inlineStr">
        <is>
          <t>Novo</t>
        </is>
      </c>
      <c r="O1104" s="14" t="inlineStr"/>
    </row>
    <row r="1105">
      <c r="A1105" s="14" t="inlineStr">
        <is>
          <t>29/06/2026, 16:10:23</t>
        </is>
      </c>
      <c r="B1105" s="14" t="inlineStr">
        <is>
          <t>Imoveis Maringá e Região</t>
        </is>
      </c>
      <c r="C1105" s="14" t="inlineStr">
        <is>
          <t>Alison Telles</t>
        </is>
      </c>
      <c r="D1105" s="14" t="inlineStr"/>
      <c r="E1105" s="14" t="inlineStr">
        <is>
          <t>Casa</t>
        </is>
      </c>
      <c r="F1105" s="14" t="inlineStr">
        <is>
          <t>Jardim Fregadoli</t>
        </is>
      </c>
      <c r="G1105" s="14" t="n">
        <v>116</v>
      </c>
      <c r="H1105" s="14" t="n">
        <v>3</v>
      </c>
      <c r="I1105" s="14" t="n">
        <v>1</v>
      </c>
      <c r="J1105" s="14" t="n">
        <v>2</v>
      </c>
      <c r="K1105" s="14" t="n">
        <v>2</v>
      </c>
      <c r="L1105" s="14" t="n">
        <v>890000</v>
      </c>
      <c r="M1105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05" s="14" t="inlineStr">
        <is>
          <t>Novo</t>
        </is>
      </c>
      <c r="O1105" s="14" t="inlineStr"/>
    </row>
    <row r="1106">
      <c r="A1106" s="14" t="inlineStr">
        <is>
          <t>29/06/2026, 16:10:50</t>
        </is>
      </c>
      <c r="B1106" s="14" t="inlineStr">
        <is>
          <t>Corretores de sucesso 👏🇧🇷🎉🍾🙌🏡</t>
        </is>
      </c>
      <c r="C1106" s="14" t="inlineStr">
        <is>
          <t>Alison Telles</t>
        </is>
      </c>
      <c r="D1106" s="14" t="inlineStr"/>
      <c r="E1106" s="14" t="inlineStr">
        <is>
          <t>Apartamento</t>
        </is>
      </c>
      <c r="F1106" s="14" t="inlineStr">
        <is>
          <t>Zona 08</t>
        </is>
      </c>
      <c r="G1106" s="14" t="n">
        <v>83</v>
      </c>
      <c r="H1106" s="14" t="n">
        <v>1</v>
      </c>
      <c r="I1106" s="14" t="n">
        <v>1</v>
      </c>
      <c r="J1106" s="14" t="n">
        <v>2</v>
      </c>
      <c r="K1106" s="14" t="n">
        <v>2</v>
      </c>
      <c r="L1106" s="14" t="n">
        <v>950000</v>
      </c>
      <c r="M1106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06" s="14" t="inlineStr">
        <is>
          <t>Novo</t>
        </is>
      </c>
      <c r="O1106" s="14" t="inlineStr"/>
    </row>
    <row r="1107">
      <c r="A1107" s="14" t="inlineStr">
        <is>
          <t>29/06/2026, 14:30:17</t>
        </is>
      </c>
      <c r="B1107" s="14" t="inlineStr">
        <is>
          <t>Corretores de sucesso 👏🇧🇷🎉🍾🙌🏡</t>
        </is>
      </c>
      <c r="C1107" s="14" t="inlineStr">
        <is>
          <t>Mirna Ruas</t>
        </is>
      </c>
      <c r="D1107" s="14" t="inlineStr"/>
      <c r="E1107" s="14" t="inlineStr">
        <is>
          <t>Casa</t>
        </is>
      </c>
      <c r="F1107" s="14" t="inlineStr"/>
      <c r="G1107" s="14" t="n"/>
      <c r="H1107" s="14" t="n">
        <v>3</v>
      </c>
      <c r="I1107" s="14" t="n">
        <v>1</v>
      </c>
      <c r="J1107" s="14" t="n">
        <v>2</v>
      </c>
      <c r="K1107" s="14" t="n"/>
      <c r="L1107" s="14" t="n"/>
      <c r="M1107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07" s="14" t="inlineStr">
        <is>
          <t>Novo</t>
        </is>
      </c>
      <c r="O1107" s="14" t="inlineStr"/>
    </row>
    <row r="1108">
      <c r="A1108" s="14" t="inlineStr">
        <is>
          <t>29/06/2026, 14:33:19</t>
        </is>
      </c>
      <c r="B1108" s="14" t="inlineStr">
        <is>
          <t>Maringá Apartamentos 🏘️</t>
        </is>
      </c>
      <c r="C1108" s="14" t="inlineStr">
        <is>
          <t>Mariza Schmidt</t>
        </is>
      </c>
      <c r="D1108" s="14" t="inlineStr"/>
      <c r="E1108" s="14" t="inlineStr">
        <is>
          <t>Apartamento</t>
        </is>
      </c>
      <c r="F1108" s="14" t="inlineStr">
        <is>
          <t>Jardim Aclamação</t>
        </is>
      </c>
      <c r="G1108" s="14" t="n"/>
      <c r="H1108" s="14" t="n">
        <v>3</v>
      </c>
      <c r="I1108" s="14" t="n">
        <v>1</v>
      </c>
      <c r="J1108" s="14" t="n">
        <v>1</v>
      </c>
      <c r="K1108" s="14" t="n"/>
      <c r="L1108" s="14" t="n">
        <v>550000</v>
      </c>
      <c r="M1108" s="14" t="inlineStr">
        <is>
          <t>Semi mobiliado, CRECI J10569, condomínio completo com piscina, academia, área infantil e salão de festas</t>
        </is>
      </c>
      <c r="N1108" s="14" t="inlineStr">
        <is>
          <t>Novo</t>
        </is>
      </c>
      <c r="O1108" s="14" t="inlineStr"/>
    </row>
    <row r="1109">
      <c r="A1109" s="14" t="inlineStr">
        <is>
          <t>29/06/2026, 15:27:43</t>
        </is>
      </c>
      <c r="B1109" s="14" t="inlineStr">
        <is>
          <t>Corretores de sucesso 👏🇧🇷🎉🍾🙌🏡</t>
        </is>
      </c>
      <c r="C1109" s="14" t="inlineStr">
        <is>
          <t>Mirna Ruas</t>
        </is>
      </c>
      <c r="D1109" s="14" t="inlineStr"/>
      <c r="E1109" s="14" t="inlineStr">
        <is>
          <t>Casa</t>
        </is>
      </c>
      <c r="F1109" s="14" t="inlineStr">
        <is>
          <t>Parque das Laranjeiras</t>
        </is>
      </c>
      <c r="G1109" s="14" t="n">
        <v>400</v>
      </c>
      <c r="H1109" s="14" t="n"/>
      <c r="I1109" s="14" t="n"/>
      <c r="J1109" s="14" t="n"/>
      <c r="K1109" s="14" t="n"/>
      <c r="L1109" s="14" t="n">
        <v>850000</v>
      </c>
      <c r="M1109" s="14" t="inlineStr">
        <is>
          <t>Área construída 167m², espaçosa e arejada, aceita terreno no mesmo bairro</t>
        </is>
      </c>
      <c r="N1109" s="14" t="inlineStr">
        <is>
          <t>Novo</t>
        </is>
      </c>
      <c r="O1109" s="14" t="inlineStr"/>
    </row>
    <row r="1110">
      <c r="A1110" s="14" t="inlineStr">
        <is>
          <t>29/06/2026, 16:10:23</t>
        </is>
      </c>
      <c r="B1110" s="14" t="inlineStr">
        <is>
          <t>Imoveis Maringá e Região</t>
        </is>
      </c>
      <c r="C1110" s="14" t="inlineStr">
        <is>
          <t>Alison Telles</t>
        </is>
      </c>
      <c r="D1110" s="14" t="inlineStr"/>
      <c r="E1110" s="14" t="inlineStr">
        <is>
          <t>Casa</t>
        </is>
      </c>
      <c r="F1110" s="14" t="inlineStr">
        <is>
          <t>Jardim Fregadoli</t>
        </is>
      </c>
      <c r="G1110" s="14" t="n">
        <v>116</v>
      </c>
      <c r="H1110" s="14" t="n">
        <v>3</v>
      </c>
      <c r="I1110" s="14" t="n">
        <v>1</v>
      </c>
      <c r="J1110" s="14" t="n">
        <v>2</v>
      </c>
      <c r="K1110" s="14" t="n">
        <v>2</v>
      </c>
      <c r="L1110" s="14" t="n">
        <v>890000</v>
      </c>
      <c r="M1110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10" s="14" t="inlineStr">
        <is>
          <t>Novo</t>
        </is>
      </c>
      <c r="O1110" s="14" t="inlineStr"/>
    </row>
    <row r="1111">
      <c r="A1111" s="14" t="inlineStr">
        <is>
          <t>29/06/2026, 16:10:50</t>
        </is>
      </c>
      <c r="B1111" s="14" t="inlineStr">
        <is>
          <t>Corretores de sucesso 👏🇧🇷🎉🍾🙌🏡</t>
        </is>
      </c>
      <c r="C1111" s="14" t="inlineStr">
        <is>
          <t>Alison Telles</t>
        </is>
      </c>
      <c r="D1111" s="14" t="inlineStr"/>
      <c r="E1111" s="14" t="inlineStr">
        <is>
          <t>Apartamento</t>
        </is>
      </c>
      <c r="F1111" s="14" t="inlineStr">
        <is>
          <t>Zona 08</t>
        </is>
      </c>
      <c r="G1111" s="14" t="n">
        <v>83</v>
      </c>
      <c r="H1111" s="14" t="n">
        <v>1</v>
      </c>
      <c r="I1111" s="14" t="n">
        <v>1</v>
      </c>
      <c r="J1111" s="14" t="n">
        <v>2</v>
      </c>
      <c r="K1111" s="14" t="n">
        <v>2</v>
      </c>
      <c r="L1111" s="14" t="n">
        <v>950000</v>
      </c>
      <c r="M1111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11" s="14" t="inlineStr">
        <is>
          <t>Novo</t>
        </is>
      </c>
      <c r="O1111" s="14" t="inlineStr"/>
    </row>
    <row r="1112">
      <c r="A1112" s="14" t="inlineStr">
        <is>
          <t>29/06/2026, 14:30:17</t>
        </is>
      </c>
      <c r="B1112" s="14" t="inlineStr">
        <is>
          <t>Corretores de sucesso 👏🇧🇷🎉🍾🙌🏡</t>
        </is>
      </c>
      <c r="C1112" s="14" t="inlineStr">
        <is>
          <t>Mirna Ruas</t>
        </is>
      </c>
      <c r="D1112" s="14" t="inlineStr"/>
      <c r="E1112" s="14" t="inlineStr">
        <is>
          <t>Casa</t>
        </is>
      </c>
      <c r="F1112" s="14" t="inlineStr"/>
      <c r="G1112" s="14" t="n"/>
      <c r="H1112" s="14" t="n">
        <v>3</v>
      </c>
      <c r="I1112" s="14" t="n">
        <v>1</v>
      </c>
      <c r="J1112" s="14" t="n">
        <v>2</v>
      </c>
      <c r="K1112" s="14" t="n"/>
      <c r="L1112" s="14" t="n"/>
      <c r="M1112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12" s="14" t="inlineStr">
        <is>
          <t>Novo</t>
        </is>
      </c>
      <c r="O1112" s="14" t="inlineStr"/>
    </row>
    <row r="1113">
      <c r="A1113" s="14" t="inlineStr">
        <is>
          <t>29/06/2026, 14:33:19</t>
        </is>
      </c>
      <c r="B1113" s="14" t="inlineStr">
        <is>
          <t>Maringá Apartamentos 🏘️</t>
        </is>
      </c>
      <c r="C1113" s="14" t="inlineStr">
        <is>
          <t>Mariza Schmidt</t>
        </is>
      </c>
      <c r="D1113" s="14" t="inlineStr"/>
      <c r="E1113" s="14" t="inlineStr">
        <is>
          <t>Apartamento</t>
        </is>
      </c>
      <c r="F1113" s="14" t="inlineStr">
        <is>
          <t>Jardim Aclimaçãço</t>
        </is>
      </c>
      <c r="G1113" s="14" t="n"/>
      <c r="H1113" s="14" t="n">
        <v>3</v>
      </c>
      <c r="I1113" s="14" t="n">
        <v>1</v>
      </c>
      <c r="J1113" s="14" t="n">
        <v>1</v>
      </c>
      <c r="K1113" s="14" t="n"/>
      <c r="L1113" s="14" t="n">
        <v>550000</v>
      </c>
      <c r="M1113" s="14" t="inlineStr">
        <is>
          <t>Semi mobiliado, CRECI J10569, condomínio completo com piscina, academia, área infantil e salão de festas</t>
        </is>
      </c>
      <c r="N1113" s="14" t="inlineStr">
        <is>
          <t>Novo</t>
        </is>
      </c>
      <c r="O1113" s="14" t="inlineStr"/>
    </row>
    <row r="1114">
      <c r="A1114" s="14" t="inlineStr">
        <is>
          <t>29/06/2026, 15:27:43</t>
        </is>
      </c>
      <c r="B1114" s="14" t="inlineStr">
        <is>
          <t>Corretores de sucesso 👏🇧🇷🎉🍾🙌🏡</t>
        </is>
      </c>
      <c r="C1114" s="14" t="inlineStr">
        <is>
          <t>Mirna Ruas</t>
        </is>
      </c>
      <c r="D1114" s="14" t="inlineStr"/>
      <c r="E1114" s="14" t="inlineStr">
        <is>
          <t>Casa</t>
        </is>
      </c>
      <c r="F1114" s="14" t="inlineStr">
        <is>
          <t>Parque das Laranjeiras</t>
        </is>
      </c>
      <c r="G1114" s="14" t="n">
        <v>400</v>
      </c>
      <c r="H1114" s="14" t="n"/>
      <c r="I1114" s="14" t="n"/>
      <c r="J1114" s="14" t="n"/>
      <c r="K1114" s="14" t="n"/>
      <c r="L1114" s="14" t="n">
        <v>850000</v>
      </c>
      <c r="M1114" s="14" t="inlineStr">
        <is>
          <t>Área construída 167m². Espaçosa e arejada. Aceita terreno no mesmo bairro como parte do pagamento.</t>
        </is>
      </c>
      <c r="N1114" s="14" t="inlineStr">
        <is>
          <t>Novo</t>
        </is>
      </c>
      <c r="O1114" s="14" t="inlineStr"/>
    </row>
    <row r="1115">
      <c r="A1115" s="14" t="inlineStr">
        <is>
          <t>29/06/2026, 16:10:23</t>
        </is>
      </c>
      <c r="B1115" s="14" t="inlineStr">
        <is>
          <t>Imoveis Maringá e Região</t>
        </is>
      </c>
      <c r="C1115" s="14" t="inlineStr">
        <is>
          <t>Alison Telles</t>
        </is>
      </c>
      <c r="D1115" s="14" t="inlineStr"/>
      <c r="E1115" s="14" t="inlineStr">
        <is>
          <t>Casa</t>
        </is>
      </c>
      <c r="F1115" s="14" t="inlineStr">
        <is>
          <t>Jardim Fregadoli</t>
        </is>
      </c>
      <c r="G1115" s="14" t="n">
        <v>116</v>
      </c>
      <c r="H1115" s="14" t="n">
        <v>3</v>
      </c>
      <c r="I1115" s="14" t="n">
        <v>1</v>
      </c>
      <c r="J1115" s="14" t="n">
        <v>2</v>
      </c>
      <c r="K1115" s="14" t="n">
        <v>2</v>
      </c>
      <c r="L1115" s="14" t="n">
        <v>890000</v>
      </c>
      <c r="M1115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15" s="14" t="inlineStr">
        <is>
          <t>Novo</t>
        </is>
      </c>
      <c r="O1115" s="14" t="inlineStr"/>
    </row>
    <row r="1116">
      <c r="A1116" s="14" t="inlineStr">
        <is>
          <t>29/06/2026, 16:10:50</t>
        </is>
      </c>
      <c r="B1116" s="14" t="inlineStr">
        <is>
          <t>Corretores de sucesso 👏🇧🇷🎉🍾🙌🏡</t>
        </is>
      </c>
      <c r="C1116" s="14" t="inlineStr">
        <is>
          <t>Alison Telles</t>
        </is>
      </c>
      <c r="D1116" s="14" t="inlineStr"/>
      <c r="E1116" s="14" t="inlineStr">
        <is>
          <t>Apartamento</t>
        </is>
      </c>
      <c r="F1116" s="14" t="inlineStr">
        <is>
          <t>Zona 08</t>
        </is>
      </c>
      <c r="G1116" s="14" t="n">
        <v>83</v>
      </c>
      <c r="H1116" s="14" t="n">
        <v>1</v>
      </c>
      <c r="I1116" s="14" t="n">
        <v>1</v>
      </c>
      <c r="J1116" s="14" t="n">
        <v>2</v>
      </c>
      <c r="K1116" s="14" t="n">
        <v>2</v>
      </c>
      <c r="L1116" s="14" t="n">
        <v>950000</v>
      </c>
      <c r="M1116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16" s="14" t="inlineStr">
        <is>
          <t>Novo</t>
        </is>
      </c>
      <c r="O1116" s="14" t="inlineStr"/>
    </row>
    <row r="1117">
      <c r="A1117" s="14" t="inlineStr">
        <is>
          <t>29/06/2026, 16:37:30</t>
        </is>
      </c>
      <c r="B1117" s="14" t="inlineStr">
        <is>
          <t>Imoveis Maringá e Região</t>
        </is>
      </c>
      <c r="C1117" s="14" t="inlineStr">
        <is>
          <t>Odair</t>
        </is>
      </c>
      <c r="D1117" s="14" t="inlineStr"/>
      <c r="E1117" s="14" t="inlineStr">
        <is>
          <t>Apartamento</t>
        </is>
      </c>
      <c r="F1117" s="14" t="inlineStr"/>
      <c r="G1117" s="14" t="n"/>
      <c r="H1117" s="14" t="n">
        <v>2</v>
      </c>
      <c r="I1117" s="14" t="n">
        <v>1</v>
      </c>
      <c r="J1117" s="14" t="n">
        <v>2</v>
      </c>
      <c r="K1117" s="14" t="n"/>
      <c r="L1117" s="14" t="n"/>
      <c r="M1117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17" s="14" t="inlineStr">
        <is>
          <t>Novo</t>
        </is>
      </c>
      <c r="O1117" s="14" t="inlineStr"/>
    </row>
    <row r="1118">
      <c r="A1118" s="14" t="inlineStr">
        <is>
          <t>29/06/2026, 17:16:17</t>
        </is>
      </c>
      <c r="B1118" s="14" t="inlineStr">
        <is>
          <t>Corretores de sucesso 👏🇧🇷🎉🍾🙌🏡</t>
        </is>
      </c>
      <c r="C1118" s="14" t="inlineStr">
        <is>
          <t>Edson Do Vale</t>
        </is>
      </c>
      <c r="D1118" s="14" t="inlineStr"/>
      <c r="E1118" s="14" t="inlineStr">
        <is>
          <t>Terreno</t>
        </is>
      </c>
      <c r="F1118" s="14" t="inlineStr">
        <is>
          <t>Jardim Dias II</t>
        </is>
      </c>
      <c r="G1118" s="14" t="n">
        <v>413</v>
      </c>
      <c r="H1118" s="14" t="n"/>
      <c r="I1118" s="14" t="n"/>
      <c r="J1118" s="14" t="n">
        <v>0</v>
      </c>
      <c r="K1118" s="14" t="n"/>
      <c r="L1118" s="14" t="n">
        <v>350000</v>
      </c>
      <c r="M1118" s="14" t="inlineStr">
        <is>
          <t>Esquina das ruas Sebastião de Paula e Silva e Pietrobon. Próximo à Av Américo Belay e Av Morangueira. Dimensões aproximadas 20x20m. Estuda permuta por casa ou apartamento até R$400.000. Também estuda troca parcial por carro.</t>
        </is>
      </c>
      <c r="N1118" s="14" t="inlineStr">
        <is>
          <t>Novo</t>
        </is>
      </c>
      <c r="O1118" s="14" t="inlineStr"/>
    </row>
    <row r="1119">
      <c r="A1119" s="14" t="inlineStr">
        <is>
          <t>29/06/2026, 14:30:17</t>
        </is>
      </c>
      <c r="B1119" s="14" t="inlineStr">
        <is>
          <t>Corretores de sucesso 👏🇧🇷🎉🍾🙌🏡</t>
        </is>
      </c>
      <c r="C1119" s="14" t="inlineStr">
        <is>
          <t>Mirna Ruas</t>
        </is>
      </c>
      <c r="D1119" s="14" t="inlineStr"/>
      <c r="E1119" s="14" t="inlineStr">
        <is>
          <t>Casa</t>
        </is>
      </c>
      <c r="F1119" s="14" t="inlineStr"/>
      <c r="G1119" s="14" t="n"/>
      <c r="H1119" s="14" t="n">
        <v>3</v>
      </c>
      <c r="I1119" s="14" t="n">
        <v>1</v>
      </c>
      <c r="J1119" s="14" t="n">
        <v>2</v>
      </c>
      <c r="K1119" s="14" t="n"/>
      <c r="L1119" s="14" t="n"/>
      <c r="M1119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19" s="14" t="inlineStr">
        <is>
          <t>Novo</t>
        </is>
      </c>
      <c r="O1119" s="14" t="inlineStr"/>
    </row>
    <row r="1120">
      <c r="A1120" s="14" t="inlineStr">
        <is>
          <t>29/06/2026, 16:10:23</t>
        </is>
      </c>
      <c r="B1120" s="14" t="inlineStr">
        <is>
          <t>Imoveis Maringá e Região</t>
        </is>
      </c>
      <c r="C1120" s="14" t="inlineStr">
        <is>
          <t>Alison Telles</t>
        </is>
      </c>
      <c r="D1120" s="14" t="inlineStr"/>
      <c r="E1120" s="14" t="inlineStr">
        <is>
          <t>Casa</t>
        </is>
      </c>
      <c r="F1120" s="14" t="inlineStr">
        <is>
          <t>Jardim Fregadoli</t>
        </is>
      </c>
      <c r="G1120" s="14" t="n">
        <v>116</v>
      </c>
      <c r="H1120" s="14" t="n">
        <v>3</v>
      </c>
      <c r="I1120" s="14" t="n">
        <v>1</v>
      </c>
      <c r="J1120" s="14" t="n">
        <v>2</v>
      </c>
      <c r="K1120" s="14" t="n">
        <v>2</v>
      </c>
      <c r="L1120" s="14" t="n">
        <v>890000</v>
      </c>
      <c r="M1120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20" s="14" t="inlineStr">
        <is>
          <t>Novo</t>
        </is>
      </c>
      <c r="O1120" s="14" t="inlineStr"/>
    </row>
    <row r="1121">
      <c r="A1121" s="14" t="inlineStr">
        <is>
          <t>29/06/2026, 16:10:50</t>
        </is>
      </c>
      <c r="B1121" s="14" t="inlineStr">
        <is>
          <t>Corretores de sucesso 👏🇧🇷🎉🍾🙌🏡</t>
        </is>
      </c>
      <c r="C1121" s="14" t="inlineStr">
        <is>
          <t>Alison Telles</t>
        </is>
      </c>
      <c r="D1121" s="14" t="inlineStr"/>
      <c r="E1121" s="14" t="inlineStr">
        <is>
          <t>Apartamento</t>
        </is>
      </c>
      <c r="F1121" s="14" t="inlineStr">
        <is>
          <t>Zona 08</t>
        </is>
      </c>
      <c r="G1121" s="14" t="n">
        <v>83</v>
      </c>
      <c r="H1121" s="14" t="n">
        <v>1</v>
      </c>
      <c r="I1121" s="14" t="n">
        <v>1</v>
      </c>
      <c r="J1121" s="14" t="n">
        <v>2</v>
      </c>
      <c r="K1121" s="14" t="n">
        <v>2</v>
      </c>
      <c r="L1121" s="14" t="n">
        <v>950000</v>
      </c>
      <c r="M1121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21" s="14" t="inlineStr">
        <is>
          <t>Novo</t>
        </is>
      </c>
      <c r="O1121" s="14" t="inlineStr"/>
    </row>
    <row r="1122">
      <c r="A1122" s="14" t="inlineStr">
        <is>
          <t>29/06/2026, 16:37:30</t>
        </is>
      </c>
      <c r="B1122" s="14" t="inlineStr">
        <is>
          <t>Imoveis Maringá e Região</t>
        </is>
      </c>
      <c r="C1122" s="14" t="inlineStr">
        <is>
          <t>Odair</t>
        </is>
      </c>
      <c r="D1122" s="14" t="inlineStr"/>
      <c r="E1122" s="14" t="inlineStr">
        <is>
          <t>Apartamento</t>
        </is>
      </c>
      <c r="F1122" s="14" t="inlineStr"/>
      <c r="G1122" s="14" t="n"/>
      <c r="H1122" s="14" t="n">
        <v>2</v>
      </c>
      <c r="I1122" s="14" t="n">
        <v>1</v>
      </c>
      <c r="J1122" s="14" t="n">
        <v>2</v>
      </c>
      <c r="K1122" s="14" t="n"/>
      <c r="L1122" s="14" t="n"/>
      <c r="M1122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22" s="14" t="inlineStr">
        <is>
          <t>Novo</t>
        </is>
      </c>
      <c r="O1122" s="14" t="inlineStr"/>
    </row>
    <row r="1123">
      <c r="A1123" s="14" t="inlineStr">
        <is>
          <t>29/06/2026, 14:30:17</t>
        </is>
      </c>
      <c r="B1123" s="14" t="inlineStr">
        <is>
          <t>Corretores de sucesso 👏🇧🇷🎉🍾🙌🏡</t>
        </is>
      </c>
      <c r="C1123" s="14" t="inlineStr">
        <is>
          <t>Mirna Ruas</t>
        </is>
      </c>
      <c r="D1123" s="14" t="inlineStr"/>
      <c r="E1123" s="14" t="inlineStr">
        <is>
          <t>Casa</t>
        </is>
      </c>
      <c r="F1123" s="14" t="inlineStr"/>
      <c r="G1123" s="14" t="n"/>
      <c r="H1123" s="14" t="n">
        <v>3</v>
      </c>
      <c r="I1123" s="14" t="n">
        <v>1</v>
      </c>
      <c r="J1123" s="14" t="n">
        <v>2</v>
      </c>
      <c r="K1123" s="14" t="n"/>
      <c r="L1123" s="14" t="n"/>
      <c r="M1123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23" s="14" t="inlineStr">
        <is>
          <t>Novo</t>
        </is>
      </c>
      <c r="O1123" s="14" t="inlineStr"/>
    </row>
    <row r="1124">
      <c r="A1124" s="14" t="inlineStr">
        <is>
          <t>29/06/2026, 14:33:19</t>
        </is>
      </c>
      <c r="B1124" s="14" t="inlineStr">
        <is>
          <t>Maringá Apartamentos 🏘️</t>
        </is>
      </c>
      <c r="C1124" s="14" t="inlineStr">
        <is>
          <t>Mariza Schmidt</t>
        </is>
      </c>
      <c r="D1124" s="14" t="inlineStr"/>
      <c r="E1124" s="14" t="inlineStr">
        <is>
          <t>Apartamento</t>
        </is>
      </c>
      <c r="F1124" s="14" t="inlineStr">
        <is>
          <t>Jardim Acimação</t>
        </is>
      </c>
      <c r="G1124" s="14" t="n"/>
      <c r="H1124" s="14" t="n">
        <v>3</v>
      </c>
      <c r="I1124" s="14" t="n">
        <v>1</v>
      </c>
      <c r="J1124" s="14" t="n">
        <v>1</v>
      </c>
      <c r="K1124" s="14" t="n"/>
      <c r="L1124" s="14" t="n">
        <v>550000</v>
      </c>
      <c r="M1124" s="14" t="inlineStr">
        <is>
          <t>Semi mobiliado, CRECI J10569, condomínio completo com piscina, academia, área infantil, salão de festas, launderia e sacada</t>
        </is>
      </c>
      <c r="N1124" s="14" t="inlineStr">
        <is>
          <t>Novo</t>
        </is>
      </c>
      <c r="O1124" s="14" t="inlineStr"/>
    </row>
    <row r="1125">
      <c r="A1125" s="14" t="inlineStr">
        <is>
          <t>29/06/2026, 15:27:43</t>
        </is>
      </c>
      <c r="B1125" s="14" t="inlineStr">
        <is>
          <t>Corretores de sucesso 👏🇧🇷🎉🍾🙌🏡</t>
        </is>
      </c>
      <c r="C1125" s="14" t="inlineStr">
        <is>
          <t>Mirna Ruas</t>
        </is>
      </c>
      <c r="D1125" s="14" t="inlineStr"/>
      <c r="E1125" s="14" t="inlineStr">
        <is>
          <t>Casa</t>
        </is>
      </c>
      <c r="F1125" s="14" t="inlineStr">
        <is>
          <t>Parque das Laranjeiras</t>
        </is>
      </c>
      <c r="G1125" s="14" t="n">
        <v>400</v>
      </c>
      <c r="H1125" s="14" t="n"/>
      <c r="I1125" s="14" t="n"/>
      <c r="J1125" s="14" t="n"/>
      <c r="K1125" s="14" t="n"/>
      <c r="L1125" s="14" t="n">
        <v>850000</v>
      </c>
      <c r="M1125" s="14" t="inlineStr">
        <is>
          <t>Área construída 167m². Espaçosa e arejada. Aceita terreno no mesmo bairro.</t>
        </is>
      </c>
      <c r="N1125" s="14" t="inlineStr">
        <is>
          <t>Novo</t>
        </is>
      </c>
      <c r="O1125" s="14" t="inlineStr"/>
    </row>
    <row r="1126">
      <c r="A1126" s="14" t="inlineStr">
        <is>
          <t>29/06/2026, 16:10:23</t>
        </is>
      </c>
      <c r="B1126" s="14" t="inlineStr">
        <is>
          <t>Imoveis Maringá e Região</t>
        </is>
      </c>
      <c r="C1126" s="14" t="inlineStr">
        <is>
          <t>Alison Telles</t>
        </is>
      </c>
      <c r="D1126" s="14" t="inlineStr"/>
      <c r="E1126" s="14" t="inlineStr">
        <is>
          <t>Casa</t>
        </is>
      </c>
      <c r="F1126" s="14" t="inlineStr">
        <is>
          <t>Jardim Fregadoli</t>
        </is>
      </c>
      <c r="G1126" s="14" t="n">
        <v>116</v>
      </c>
      <c r="H1126" s="14" t="n">
        <v>3</v>
      </c>
      <c r="I1126" s="14" t="n">
        <v>1</v>
      </c>
      <c r="J1126" s="14" t="n">
        <v>2</v>
      </c>
      <c r="K1126" s="14" t="n">
        <v>2</v>
      </c>
      <c r="L1126" s="14" t="n">
        <v>890000</v>
      </c>
      <c r="M1126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26" s="14" t="inlineStr">
        <is>
          <t>Novo</t>
        </is>
      </c>
      <c r="O1126" s="14" t="inlineStr"/>
    </row>
    <row r="1127">
      <c r="A1127" s="14" t="inlineStr">
        <is>
          <t>29/06/2026, 16:10:50</t>
        </is>
      </c>
      <c r="B1127" s="14" t="inlineStr">
        <is>
          <t>Corretores de sucesso 👏🇧🇷🎉🍾🙌🏡</t>
        </is>
      </c>
      <c r="C1127" s="14" t="inlineStr">
        <is>
          <t>Alison Telles</t>
        </is>
      </c>
      <c r="D1127" s="14" t="inlineStr"/>
      <c r="E1127" s="14" t="inlineStr">
        <is>
          <t>Apartamento</t>
        </is>
      </c>
      <c r="F1127" s="14" t="inlineStr">
        <is>
          <t>Zona 08</t>
        </is>
      </c>
      <c r="G1127" s="14" t="n">
        <v>83</v>
      </c>
      <c r="H1127" s="14" t="n">
        <v>1</v>
      </c>
      <c r="I1127" s="14" t="n">
        <v>1</v>
      </c>
      <c r="J1127" s="14" t="n">
        <v>2</v>
      </c>
      <c r="K1127" s="14" t="n">
        <v>2</v>
      </c>
      <c r="L1127" s="14" t="n">
        <v>950000</v>
      </c>
      <c r="M1127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27" s="14" t="inlineStr">
        <is>
          <t>Novo</t>
        </is>
      </c>
      <c r="O1127" s="14" t="inlineStr"/>
    </row>
    <row r="1128">
      <c r="A1128" s="14" t="inlineStr">
        <is>
          <t>29/06/2026, 16:37:30</t>
        </is>
      </c>
      <c r="B1128" s="14" t="inlineStr">
        <is>
          <t>Imoveis Maringá e Região</t>
        </is>
      </c>
      <c r="C1128" s="14" t="inlineStr">
        <is>
          <t>Odair</t>
        </is>
      </c>
      <c r="D1128" s="14" t="inlineStr"/>
      <c r="E1128" s="14" t="inlineStr">
        <is>
          <t>Apartamento</t>
        </is>
      </c>
      <c r="F1128" s="14" t="inlineStr"/>
      <c r="G1128" s="14" t="n"/>
      <c r="H1128" s="14" t="n">
        <v>2</v>
      </c>
      <c r="I1128" s="14" t="n">
        <v>1</v>
      </c>
      <c r="J1128" s="14" t="n">
        <v>2</v>
      </c>
      <c r="K1128" s="14" t="n"/>
      <c r="L1128" s="14" t="n"/>
      <c r="M1128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28" s="14" t="inlineStr">
        <is>
          <t>Novo</t>
        </is>
      </c>
      <c r="O1128" s="14" t="inlineStr"/>
    </row>
    <row r="1129">
      <c r="A1129" s="14" t="inlineStr">
        <is>
          <t>29/06/2026, 17:16:17</t>
        </is>
      </c>
      <c r="B1129" s="14" t="inlineStr">
        <is>
          <t>Corretores de sucesso 👏🇧🇷🎉🍾🙌🏡</t>
        </is>
      </c>
      <c r="C1129" s="14" t="inlineStr">
        <is>
          <t>Edson Do Vale</t>
        </is>
      </c>
      <c r="D1129" s="14" t="inlineStr"/>
      <c r="E1129" s="14" t="inlineStr">
        <is>
          <t>Terreno</t>
        </is>
      </c>
      <c r="F1129" s="14" t="inlineStr">
        <is>
          <t>Jardim Dias II</t>
        </is>
      </c>
      <c r="G1129" s="14" t="n">
        <v>413</v>
      </c>
      <c r="H1129" s="14" t="n"/>
      <c r="I1129" s="14" t="n"/>
      <c r="J1129" s="14" t="n">
        <v>0</v>
      </c>
      <c r="K1129" s="14" t="n"/>
      <c r="L1129" s="14" t="n">
        <v>350000</v>
      </c>
      <c r="M1129" s="14" t="inlineStr">
        <is>
          <t>Esquina das ruas Sebastião de Paula e Silva e Pietrobon. Próximo à Av Américo Belay e Av Morangueira. Dimensões aproximadas 20x20m. Estuda troca parcial por carro ou permuta por casa/apartamento até R$400.000</t>
        </is>
      </c>
      <c r="N1129" s="14" t="inlineStr">
        <is>
          <t>Novo</t>
        </is>
      </c>
      <c r="O1129" s="14" t="inlineStr"/>
    </row>
    <row r="1130">
      <c r="A1130" s="14" t="inlineStr">
        <is>
          <t>29/06/2026, 17:24:02</t>
        </is>
      </c>
      <c r="B1130" s="14" t="inlineStr">
        <is>
          <t>Corretores de sucesso 👏🇧🇷🎉🍾🙌🏡</t>
        </is>
      </c>
      <c r="C1130" s="14" t="inlineStr">
        <is>
          <t>Edson Do Vale</t>
        </is>
      </c>
      <c r="D1130" s="14" t="inlineStr"/>
      <c r="E1130" s="14" t="inlineStr">
        <is>
          <t>Apartamento</t>
        </is>
      </c>
      <c r="F1130" s="14" t="inlineStr"/>
      <c r="G1130" s="14" t="n"/>
      <c r="H1130" s="14" t="n">
        <v>3</v>
      </c>
      <c r="I1130" s="14" t="n">
        <v>1</v>
      </c>
      <c r="J1130" s="14" t="n">
        <v>2</v>
      </c>
      <c r="K1130" s="14" t="n">
        <v>3</v>
      </c>
      <c r="L1130" s="14" t="n">
        <v>822000</v>
      </c>
      <c r="M1130" s="14" t="inlineStr">
        <is>
          <t>Urban Yticon, 23º andar, 1 moto na garagem, closed, sacada, churrasqueira, sala, cozinha, lazer completo</t>
        </is>
      </c>
      <c r="N1130" s="14" t="inlineStr">
        <is>
          <t>Novo</t>
        </is>
      </c>
      <c r="O1130" s="14" t="inlineStr"/>
    </row>
    <row r="1131">
      <c r="A1131" s="14" t="inlineStr">
        <is>
          <t>29/06/2026, 14:30:17</t>
        </is>
      </c>
      <c r="B1131" s="14" t="inlineStr">
        <is>
          <t>Corretores de sucesso 👏🇧🇷🎉🍾🙌🏡</t>
        </is>
      </c>
      <c r="C1131" s="14" t="inlineStr">
        <is>
          <t>Mirna Ruas</t>
        </is>
      </c>
      <c r="D1131" s="14" t="inlineStr"/>
      <c r="E1131" s="14" t="inlineStr">
        <is>
          <t>Casa</t>
        </is>
      </c>
      <c r="F1131" s="14" t="inlineStr"/>
      <c r="G1131" s="14" t="n"/>
      <c r="H1131" s="14" t="n">
        <v>3</v>
      </c>
      <c r="I1131" s="14" t="n">
        <v>1</v>
      </c>
      <c r="J1131" s="14" t="n">
        <v>2</v>
      </c>
      <c r="K1131" s="14" t="n"/>
      <c r="L1131" s="14" t="n"/>
      <c r="M1131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31" s="14" t="inlineStr">
        <is>
          <t>Novo</t>
        </is>
      </c>
      <c r="O1131" s="14" t="inlineStr"/>
    </row>
    <row r="1132">
      <c r="A1132" s="14" t="inlineStr">
        <is>
          <t>29/06/2026, 16:10:23</t>
        </is>
      </c>
      <c r="B1132" s="14" t="inlineStr">
        <is>
          <t>Imoveis Maringá e Região</t>
        </is>
      </c>
      <c r="C1132" s="14" t="inlineStr">
        <is>
          <t>Alison Telles</t>
        </is>
      </c>
      <c r="D1132" s="14" t="inlineStr"/>
      <c r="E1132" s="14" t="inlineStr">
        <is>
          <t>Casa</t>
        </is>
      </c>
      <c r="F1132" s="14" t="inlineStr">
        <is>
          <t>Jardim Fregadoli</t>
        </is>
      </c>
      <c r="G1132" s="14" t="n">
        <v>116</v>
      </c>
      <c r="H1132" s="14" t="n">
        <v>3</v>
      </c>
      <c r="I1132" s="14" t="n">
        <v>1</v>
      </c>
      <c r="J1132" s="14" t="n">
        <v>2</v>
      </c>
      <c r="K1132" s="14" t="n">
        <v>2</v>
      </c>
      <c r="L1132" s="14" t="n">
        <v>890000</v>
      </c>
      <c r="M1132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32" s="14" t="inlineStr">
        <is>
          <t>Novo</t>
        </is>
      </c>
      <c r="O1132" s="14" t="inlineStr"/>
    </row>
    <row r="1133">
      <c r="A1133" s="14" t="inlineStr">
        <is>
          <t>29/06/2026, 16:10:50</t>
        </is>
      </c>
      <c r="B1133" s="14" t="inlineStr">
        <is>
          <t>Corretores de sucesso 👏🇧🇷🎉🍾🙌🏡</t>
        </is>
      </c>
      <c r="C1133" s="14" t="inlineStr">
        <is>
          <t>Alison Telles</t>
        </is>
      </c>
      <c r="D1133" s="14" t="inlineStr"/>
      <c r="E1133" s="14" t="inlineStr">
        <is>
          <t>Apartamento</t>
        </is>
      </c>
      <c r="F1133" s="14" t="inlineStr">
        <is>
          <t>Zona 08</t>
        </is>
      </c>
      <c r="G1133" s="14" t="n">
        <v>83</v>
      </c>
      <c r="H1133" s="14" t="n">
        <v>1</v>
      </c>
      <c r="I1133" s="14" t="n">
        <v>1</v>
      </c>
      <c r="J1133" s="14" t="n">
        <v>2</v>
      </c>
      <c r="K1133" s="14" t="n">
        <v>2</v>
      </c>
      <c r="L1133" s="14" t="n">
        <v>950000</v>
      </c>
      <c r="M1133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33" s="14" t="inlineStr">
        <is>
          <t>Novo</t>
        </is>
      </c>
      <c r="O1133" s="14" t="inlineStr"/>
    </row>
    <row r="1134">
      <c r="A1134" s="14" t="inlineStr">
        <is>
          <t>29/06/2026, 16:37:30</t>
        </is>
      </c>
      <c r="B1134" s="14" t="inlineStr">
        <is>
          <t>Imoveis Maringá e Região</t>
        </is>
      </c>
      <c r="C1134" s="14" t="inlineStr">
        <is>
          <t>Odair</t>
        </is>
      </c>
      <c r="D1134" s="14" t="inlineStr"/>
      <c r="E1134" s="14" t="inlineStr">
        <is>
          <t>Apartamento</t>
        </is>
      </c>
      <c r="F1134" s="14" t="inlineStr"/>
      <c r="G1134" s="14" t="n"/>
      <c r="H1134" s="14" t="n">
        <v>2</v>
      </c>
      <c r="I1134" s="14" t="n">
        <v>1</v>
      </c>
      <c r="J1134" s="14" t="n">
        <v>2</v>
      </c>
      <c r="K1134" s="14" t="n"/>
      <c r="L1134" s="14" t="n"/>
      <c r="M1134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34" s="14" t="inlineStr">
        <is>
          <t>Novo</t>
        </is>
      </c>
      <c r="O1134" s="14" t="inlineStr"/>
    </row>
  </sheetData>
  <autoFilter ref="A1:N1"/>
  <dataValidations count="1">
    <dataValidation sqref="M2:M10000" showDropDown="0" showInputMessage="0" showErrorMessage="0" allowBlank="1" type="list">
      <formula1>"Novo,Verificado,Em Contato,Vendido,Descartado"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4" t="inlineStr">
        <is>
          <t>Métrica</t>
        </is>
      </c>
      <c r="B1" s="4" t="inlineStr">
        <is>
          <t>Valor</t>
        </is>
      </c>
    </row>
    <row r="2">
      <c r="A2" s="2" t="inlineStr">
        <is>
          <t>Total de Imóveis</t>
        </is>
      </c>
      <c r="B2" s="2">
        <f>COUNTA(Imóveis!A2:A10000)</f>
        <v/>
      </c>
    </row>
    <row r="3">
      <c r="A3" s="5" t="inlineStr">
        <is>
          <t>Imóveis Novos</t>
        </is>
      </c>
      <c r="B3" s="5">
        <f>COUNTIF(Imóveis!M2:M10000,"Novo")</f>
        <v/>
      </c>
    </row>
    <row r="4">
      <c r="A4" s="2" t="inlineStr">
        <is>
          <t>Imóveis Verificados</t>
        </is>
      </c>
      <c r="B4" s="2">
        <f>COUNTIF(Imóveis!M2:M10000,"Verificado")</f>
        <v/>
      </c>
    </row>
    <row r="5">
      <c r="A5" s="5" t="inlineStr">
        <is>
          <t>Em Contato</t>
        </is>
      </c>
      <c r="B5" s="5">
        <f>COUNTIF(Imóveis!M2:M10000,"Em Contato")</f>
        <v/>
      </c>
    </row>
    <row r="6">
      <c r="A6" s="2" t="inlineStr">
        <is>
          <t>Vendidos</t>
        </is>
      </c>
      <c r="B6" s="2">
        <f>COUNTIF(Imóveis!M2:M10000,"Vendido")</f>
        <v/>
      </c>
    </row>
    <row r="7">
      <c r="A7" s="5" t="inlineStr">
        <is>
          <t>Preço Médio (R$)</t>
        </is>
      </c>
      <c r="B7" s="5">
        <f>IFERROR(AVERAGEIF(Imóveis!M2:M10000,"&lt;&gt;Descartado",Imóveis!K2:K10000),0)</f>
        <v/>
      </c>
    </row>
    <row r="8">
      <c r="A8" s="2" t="inlineStr">
        <is>
          <t>Preço Mínimo (R$)</t>
        </is>
      </c>
      <c r="B8" s="2">
        <f>IFERROR(MIN(IF(Imóveis!K2:K10000&gt;0,Imóveis!K2:K10000)),0)</f>
        <v/>
      </c>
    </row>
    <row r="9">
      <c r="A9" s="5" t="inlineStr">
        <is>
          <t>Preço Máximo (R$)</t>
        </is>
      </c>
      <c r="B9" s="5">
        <f>IFERROR(MAX(Imóveis!K2:K10000),0)</f>
        <v/>
      </c>
    </row>
    <row r="10">
      <c r="A10" s="2" t="inlineStr">
        <is>
          <t>Grupos Monitorados</t>
        </is>
      </c>
      <c r="B10" s="2">
        <f>IFERROR(SUMPRODUCT(1/COUNTIF(Imóveis!B2:B10000,Imóveis!B2:B10000)),0)</f>
        <v/>
      </c>
    </row>
    <row r="11">
      <c r="A11" s="5" t="inlineStr">
        <is>
          <t>Corretores Cadastrados</t>
        </is>
      </c>
      <c r="B11" s="5">
        <f>IFERROR(SUMPRODUCT(1/COUNTIF(Imóveis!C2:C10000,Imóveis!C2:C10000)),0)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30" customWidth="1" min="4" max="4"/>
  </cols>
  <sheetData>
    <row r="1">
      <c r="A1" s="1" t="inlineStr">
        <is>
          <t>Nome do Grupo</t>
        </is>
      </c>
      <c r="B1" s="1" t="inlineStr">
        <is>
          <t>Ativo?</t>
        </is>
      </c>
      <c r="C1" s="1" t="inlineStr">
        <is>
          <t>Última Leitura</t>
        </is>
      </c>
      <c r="D1" s="1" t="inlineStr">
        <is>
          <t>Obs</t>
        </is>
      </c>
    </row>
    <row r="2">
      <c r="A2" s="6" t="inlineStr">
        <is>
          <t>Maringá Apartamentos 🏘️</t>
        </is>
      </c>
      <c r="B2" s="6" t="inlineStr">
        <is>
          <t>Sim</t>
        </is>
      </c>
      <c r="C2" t="inlineStr">
        <is>
          <t>2026-06-28 14:42</t>
        </is>
      </c>
    </row>
    <row r="3">
      <c r="A3" t="inlineStr">
        <is>
          <t>BUSCA DE IMÓVEIS 🏡</t>
        </is>
      </c>
      <c r="B3" t="inlineStr">
        <is>
          <t>Sim</t>
        </is>
      </c>
      <c r="D3" t="inlineStr">
        <is>
          <t>Grupo de busca de imóveis Maringá</t>
        </is>
      </c>
    </row>
    <row r="4">
      <c r="A4" t="inlineStr">
        <is>
          <t>PNM.com.br - Imóveis e afins</t>
        </is>
      </c>
      <c r="B4" t="inlineStr">
        <is>
          <t>Sim</t>
        </is>
      </c>
      <c r="D4" t="inlineStr">
        <is>
          <t>Grupo imóveis Maringá</t>
        </is>
      </c>
    </row>
    <row r="5">
      <c r="A5" t="inlineStr">
        <is>
          <t>Angariações!</t>
        </is>
      </c>
      <c r="B5" t="inlineStr">
        <is>
          <t>Sim</t>
        </is>
      </c>
      <c r="D5" t="inlineStr">
        <is>
          <t>Grupo de angariações</t>
        </is>
      </c>
    </row>
    <row r="6">
      <c r="A6" t="inlineStr">
        <is>
          <t>Corretores Maringá</t>
        </is>
      </c>
      <c r="B6" t="inlineStr">
        <is>
          <t>Sim</t>
        </is>
      </c>
      <c r="D6" t="inlineStr">
        <is>
          <t>Grupo corretores Maringá</t>
        </is>
      </c>
    </row>
    <row r="7">
      <c r="A7" t="inlineStr">
        <is>
          <t>CASAS - MARINGÁ</t>
        </is>
      </c>
      <c r="B7" t="inlineStr">
        <is>
          <t>Sim</t>
        </is>
      </c>
      <c r="D7" t="inlineStr">
        <is>
          <t>Grupo casas Maringá</t>
        </is>
      </c>
    </row>
    <row r="8">
      <c r="A8" t="inlineStr">
        <is>
          <t xml:space="preserve">Corretores parceiros MGA </t>
        </is>
      </c>
      <c r="B8" t="inlineStr">
        <is>
          <t>Sim</t>
        </is>
      </c>
      <c r="D8" t="inlineStr">
        <is>
          <t>Corretores parceiros Maringá</t>
        </is>
      </c>
    </row>
    <row r="9">
      <c r="A9" t="inlineStr">
        <is>
          <t>Imóveis Maringá - Casas 🏠</t>
        </is>
      </c>
      <c r="B9" t="inlineStr">
        <is>
          <t>Sim</t>
        </is>
      </c>
      <c r="D9" t="inlineStr">
        <is>
          <t>Grupo imóveis casas Maringá</t>
        </is>
      </c>
    </row>
    <row r="10">
      <c r="A10" t="inlineStr">
        <is>
          <t>Casas Novas a Venda - Eng. Gabriel</t>
        </is>
      </c>
      <c r="B10" t="inlineStr">
        <is>
          <t>Sim</t>
        </is>
      </c>
      <c r="D10" t="inlineStr">
        <is>
          <t>Casas novas Maringá</t>
        </is>
      </c>
    </row>
    <row r="11">
      <c r="A11" t="inlineStr">
        <is>
          <t>INNOVARE</t>
        </is>
      </c>
      <c r="B11" t="inlineStr">
        <is>
          <t>Sim</t>
        </is>
      </c>
      <c r="D11" t="inlineStr">
        <is>
          <t>Grupo INNOVARE corretores</t>
        </is>
      </c>
    </row>
    <row r="12">
      <c r="A12" t="inlineStr">
        <is>
          <t>PARCEIROS PRONTOS PATRIMÔNIO MGA</t>
        </is>
      </c>
      <c r="B12" t="inlineStr">
        <is>
          <t>Sim</t>
        </is>
      </c>
      <c r="D12" t="inlineStr">
        <is>
          <t>Grupo parceiros Prontos Patrimônio</t>
        </is>
      </c>
    </row>
    <row r="13">
      <c r="A13" t="inlineStr">
        <is>
          <t>Clube dos Corretores</t>
        </is>
      </c>
      <c r="B13" t="inlineStr">
        <is>
          <t>Sim</t>
        </is>
      </c>
      <c r="D13" t="inlineStr">
        <is>
          <t>Grupo corretores Maringá</t>
        </is>
      </c>
    </row>
    <row r="14">
      <c r="A14" t="inlineStr">
        <is>
          <t>Negócio Fechado Imóveis &amp; Corretores Associados!</t>
        </is>
      </c>
      <c r="B14" t="inlineStr">
        <is>
          <t>Sim</t>
        </is>
      </c>
      <c r="D14" t="inlineStr">
        <is>
          <t>Grupo Negócio Fechado Maringá</t>
        </is>
      </c>
    </row>
    <row r="15">
      <c r="A15" t="inlineStr">
        <is>
          <t>PARCEIROS MAJESTIC</t>
        </is>
      </c>
      <c r="B15" t="inlineStr">
        <is>
          <t>Sim</t>
        </is>
      </c>
      <c r="D15" t="inlineStr">
        <is>
          <t>Parceiros Majestic corretores</t>
        </is>
      </c>
    </row>
    <row r="16">
      <c r="A16" t="inlineStr">
        <is>
          <t>UNIVERSO DOS IMÓVEIS</t>
        </is>
      </c>
      <c r="B16" t="inlineStr">
        <is>
          <t>Sim</t>
        </is>
      </c>
      <c r="D16" t="inlineStr">
        <is>
          <t>Grupo universo dos imóveis</t>
        </is>
      </c>
    </row>
    <row r="17">
      <c r="A17" t="inlineStr">
        <is>
          <t xml:space="preserve">Mga Corretores  Parceiros  </t>
        </is>
      </c>
      <c r="B17" t="inlineStr">
        <is>
          <t>Sim</t>
        </is>
      </c>
      <c r="D17" t="inlineStr">
        <is>
          <t>Corretores parceiros Maringá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Grupo</t>
        </is>
      </c>
      <c r="C1" t="inlineStr">
        <is>
          <t>Corretor</t>
        </is>
      </c>
      <c r="D1" t="inlineStr">
        <is>
          <t>Contato</t>
        </is>
      </c>
      <c r="E1" t="inlineStr">
        <is>
          <t>Tipo Buscado</t>
        </is>
      </c>
      <c r="F1" t="inlineStr">
        <is>
          <t>Bairro/Região</t>
        </is>
      </c>
      <c r="G1" t="inlineStr">
        <is>
          <t>Área Mín</t>
        </is>
      </c>
      <c r="H1" t="inlineStr">
        <is>
          <t>Quartos</t>
        </is>
      </c>
      <c r="I1" t="inlineStr">
        <is>
          <t>Suítes</t>
        </is>
      </c>
      <c r="J1" t="inlineStr">
        <is>
          <t>Banheiros</t>
        </is>
      </c>
      <c r="K1" t="inlineStr">
        <is>
          <t>Vagas</t>
        </is>
      </c>
      <c r="L1" t="inlineStr">
        <is>
          <t>Orçamento Máx</t>
        </is>
      </c>
      <c r="M1" t="inlineStr">
        <is>
          <t>Observações</t>
        </is>
      </c>
      <c r="N1" t="inlineStr">
        <is>
          <t>Status</t>
        </is>
      </c>
    </row>
    <row r="2">
      <c r="A2" s="14" t="inlineStr">
        <is>
          <t>29/06/2026, 10:59:56</t>
        </is>
      </c>
      <c r="B2" s="14" t="inlineStr">
        <is>
          <t>Angariações!</t>
        </is>
      </c>
      <c r="C2" s="14" t="inlineStr">
        <is>
          <t>Corretora Nátaly Fortes</t>
        </is>
      </c>
      <c r="D2" s="14" t="n"/>
      <c r="E2" s="14" t="inlineStr">
        <is>
          <t>Apartamento</t>
        </is>
      </c>
      <c r="F2" s="14" t="inlineStr">
        <is>
          <t>Chácaras Aeroporto</t>
        </is>
      </c>
      <c r="G2" s="14" t="n">
        <v>42</v>
      </c>
      <c r="H2" s="14" t="n">
        <v>2</v>
      </c>
      <c r="I2" s="14" t="n"/>
      <c r="J2" s="14" t="n"/>
      <c r="K2" s="14" t="n">
        <v>1</v>
      </c>
      <c r="L2" s="14" t="n">
        <v>255000</v>
      </c>
      <c r="M2" s="14" t="inlineStr">
        <is>
          <t>Busca Maraú, Marapé ou Maragogi — condominios MCMV VLP3 Engenharia, Chácaras Aeroporto. 42–49m², 2 quartos, 1 vaga. Cliente aprovado em financiamento R$255k.</t>
        </is>
      </c>
      <c r="N2" s="14" t="inlineStr">
        <is>
          <t>Nova</t>
        </is>
      </c>
    </row>
    <row r="3">
      <c r="A3" s="14" t="inlineStr">
        <is>
          <t>29/06/2026, 11:26:57</t>
        </is>
      </c>
      <c r="B3" s="14" t="inlineStr">
        <is>
          <t>Corretores de sucesso 👏🇧🇷🎉🍾🙌🏡</t>
        </is>
      </c>
      <c r="C3" s="14" t="inlineStr">
        <is>
          <t>William Dandolini</t>
        </is>
      </c>
      <c r="D3" s="14" t="n"/>
      <c r="E3" s="14" t="inlineStr">
        <is>
          <t>Casa</t>
        </is>
      </c>
      <c r="F3" s="14" t="inlineStr">
        <is>
          <t>Zona 02</t>
        </is>
      </c>
      <c r="G3" s="14" t="n">
        <v>100</v>
      </c>
      <c r="H3" s="14" t="n">
        <v>3</v>
      </c>
      <c r="I3" s="14" t="n">
        <v>1</v>
      </c>
      <c r="J3" s="14" t="n"/>
      <c r="K3" s="14" t="n">
        <v>2</v>
      </c>
      <c r="L3" s="14" t="n">
        <v>600000</v>
      </c>
      <c r="M3" s="14" t="inlineStr">
        <is>
          <t>Busca casa na Zona 02, até R$600k. 1 suíte + 2 quartos (3 no total), 2 garagens. Preferência: fundo com espaço para churrasqueira.</t>
        </is>
      </c>
      <c r="N3" s="14" t="inlineStr">
        <is>
          <t>Nova</t>
        </is>
      </c>
    </row>
    <row r="4">
      <c r="A4" s="14" t="inlineStr">
        <is>
          <t>29/06/2026, 12:24:30</t>
        </is>
      </c>
      <c r="B4" s="14" t="inlineStr">
        <is>
          <t>Imoveis Maringá e Região</t>
        </is>
      </c>
      <c r="C4" s="14" t="inlineStr">
        <is>
          <t>Laís Ribas - Corretora Imóveis</t>
        </is>
      </c>
      <c r="D4" s="14" t="n"/>
      <c r="E4" s="14" t="inlineStr">
        <is>
          <t>Apartamento</t>
        </is>
      </c>
      <c r="F4" s="14" t="n"/>
      <c r="G4" s="14" t="n">
        <v>105</v>
      </c>
      <c r="H4" s="14" t="n">
        <v>3</v>
      </c>
      <c r="I4" s="14" t="n">
        <v>3</v>
      </c>
      <c r="J4" s="14" t="n"/>
      <c r="K4" s="14" t="n">
        <v>2</v>
      </c>
      <c r="L4" s="14" t="n">
        <v>1000000</v>
      </c>
      <c r="M4" s="14" t="inlineStr">
        <is>
          <t>Busca apartamento acima de 105m², semi mobiliado, preferência imóvel mais novo. Orçamento: R$1.000.000. Sem região definida.</t>
        </is>
      </c>
      <c r="N4" s="14" t="inlineStr">
        <is>
          <t>Nova</t>
        </is>
      </c>
    </row>
    <row r="5">
      <c r="A5" s="14" t="inlineStr">
        <is>
          <t>29/06/2026, 11:52:00</t>
        </is>
      </c>
      <c r="B5" s="14" t="inlineStr">
        <is>
          <t>Corretores de sucesso 👏🇧🇷🎉🍾🙌🏡</t>
        </is>
      </c>
      <c r="C5" s="14" t="inlineStr">
        <is>
          <t>Rafaela Oliveira</t>
        </is>
      </c>
      <c r="D5" s="14" t="inlineStr">
        <is>
          <t>5544998588564</t>
        </is>
      </c>
      <c r="E5" s="14" t="inlineStr">
        <is>
          <t>Apartamento</t>
        </is>
      </c>
      <c r="F5" s="14" t="inlineStr">
        <is>
          <t>Zona 03</t>
        </is>
      </c>
      <c r="G5" s="14" t="n">
        <v>147</v>
      </c>
      <c r="H5" s="14" t="n"/>
      <c r="I5" s="14" t="n">
        <v>3</v>
      </c>
      <c r="J5" s="14" t="n"/>
      <c r="K5" s="14" t="n">
        <v>3</v>
      </c>
      <c r="L5" s="14" t="n"/>
      <c r="M5" s="14" t="inlineStr">
        <is>
          <t>Busca Atmosphere (A.Yoshii) — Zona 03, 147m², 3 suítes, 3 vagas. Alto padrão. Orçamento não informado.</t>
        </is>
      </c>
      <c r="N5" s="14" t="inlineStr">
        <is>
          <t>Nova</t>
        </is>
      </c>
    </row>
    <row r="6">
      <c r="A6" s="14" t="inlineStr">
        <is>
          <t>29/06/2026 19:17</t>
        </is>
      </c>
      <c r="B6" s="14" t="inlineStr">
        <is>
          <t>Maringá Apartamentos 🏘️</t>
        </is>
      </c>
      <c r="C6" s="14" t="inlineStr">
        <is>
          <t>João Brenner</t>
        </is>
      </c>
      <c r="D6" s="14" t="n"/>
      <c r="E6" s="14" t="inlineStr">
        <is>
          <t>Apartamento</t>
        </is>
      </c>
      <c r="F6" s="14" t="inlineStr">
        <is>
          <t>Zona 08</t>
        </is>
      </c>
      <c r="G6" s="14" t="n">
        <v>120</v>
      </c>
      <c r="H6" s="14" t="n"/>
      <c r="I6" s="14" t="n">
        <v>3</v>
      </c>
      <c r="J6" s="14" t="n"/>
      <c r="K6" s="14" t="n">
        <v>2</v>
      </c>
      <c r="L6" s="14" t="n"/>
      <c r="M6" s="14" t="inlineStr">
        <is>
          <t>Busca Vision (A.Yoshii) — 120 a 144m², 3 suítes, Zona 08. Permuta: tem apartamento avaliado em R$800.000 para dar como entrada/parte do pagamento. Orçamento total do Vision não informado.</t>
        </is>
      </c>
      <c r="N6" s="14" t="inlineStr">
        <is>
          <t>Nova</t>
        </is>
      </c>
    </row>
    <row r="7">
      <c r="A7" s="14" t="inlineStr">
        <is>
          <t>29/06/2026, 15:53:39</t>
        </is>
      </c>
      <c r="B7" s="14" t="inlineStr">
        <is>
          <t>Maringá Apartamentos 🏘️</t>
        </is>
      </c>
      <c r="C7" s="14" t="inlineStr">
        <is>
          <t>João Brenner</t>
        </is>
      </c>
      <c r="D7" s="14" t="n"/>
      <c r="E7" s="14" t="inlineStr">
        <is>
          <t>Apartamento</t>
        </is>
      </c>
      <c r="F7" s="14" t="n"/>
      <c r="G7" s="14" t="n"/>
      <c r="H7" s="14" t="n"/>
      <c r="I7" s="14" t="n"/>
      <c r="J7" s="14" t="n"/>
      <c r="K7" s="14" t="n"/>
      <c r="L7" s="14" t="n">
        <v>800000</v>
      </c>
      <c r="M7" s="14" t="inlineStr">
        <is>
          <t>Pessoal,
Alguém com um VISION pra venda, de preferência que pegue outro apartamento de menor valor , na faixa de R$800mil no negócio?
Chama no privado.</t>
        </is>
      </c>
      <c r="N7" s="14" t="inlineStr">
        <is>
          <t>Nova</t>
        </is>
      </c>
    </row>
    <row r="8">
      <c r="A8" s="14" t="inlineStr">
        <is>
          <t>29/06/2026, 16:18:48</t>
        </is>
      </c>
      <c r="B8" s="14" t="inlineStr">
        <is>
          <t>BUSCA DE IMÓVEIS 🏡</t>
        </is>
      </c>
      <c r="C8" s="14" t="inlineStr">
        <is>
          <t>Ludmilla Gargantini</t>
        </is>
      </c>
      <c r="D8" s="14" t="n"/>
      <c r="E8" s="14" t="inlineStr">
        <is>
          <t>Apartamento</t>
        </is>
      </c>
      <c r="F8" s="14" t="n"/>
      <c r="G8" s="14" t="n">
        <v>100</v>
      </c>
      <c r="H8" s="14" t="n"/>
      <c r="I8" s="14" t="n"/>
      <c r="J8" s="14" t="n"/>
      <c r="K8" s="14" t="n"/>
      <c r="L8" s="14" t="n"/>
      <c r="M8" s="14" t="inlineStr">
        <is>
          <t>Pessoal
Alguém com apartamento com acessibilidade de 100m² ??
Enviar no PV por favor</t>
        </is>
      </c>
      <c r="N8" s="14" t="inlineStr">
        <is>
          <t>Nova</t>
        </is>
      </c>
    </row>
    <row r="9">
      <c r="A9" s="14" t="inlineStr">
        <is>
          <t>29/06/2026, 16:19:30</t>
        </is>
      </c>
      <c r="B9" s="14" t="inlineStr">
        <is>
          <t>Corretores de sucesso 👏🇧🇷🎉🍾🙌🏡</t>
        </is>
      </c>
      <c r="C9" s="14" t="inlineStr">
        <is>
          <t>Denilson corretor</t>
        </is>
      </c>
      <c r="D9" s="14" t="n"/>
      <c r="E9" s="14" t="inlineStr">
        <is>
          <t>Casa</t>
        </is>
      </c>
      <c r="F9" s="14" t="n"/>
      <c r="G9" s="14" t="n"/>
      <c r="H9" s="14" t="n"/>
      <c r="I9" s="14" t="n"/>
      <c r="J9" s="14" t="n"/>
      <c r="K9" s="14" t="n"/>
      <c r="L9" s="14" t="n">
        <v>480000</v>
      </c>
      <c r="M9" s="14" t="inlineStr">
        <is>
          <t>Cliente procura casa na regiao do Dias ate 480 mil Nova  
Para visitar amanhã de manhã</t>
        </is>
      </c>
      <c r="N9" s="14" t="inlineStr">
        <is>
          <t>Nova</t>
        </is>
      </c>
    </row>
    <row r="10">
      <c r="A10" s="14" t="inlineStr">
        <is>
          <t>29/06/2026, 16:28:22</t>
        </is>
      </c>
      <c r="B10" s="14" t="inlineStr">
        <is>
          <t>Maringá Apartamentos 🏘️</t>
        </is>
      </c>
      <c r="C10" s="14" t="inlineStr">
        <is>
          <t>Juliana Brenner Corretora de Imovéis</t>
        </is>
      </c>
      <c r="D10" s="14" t="n"/>
      <c r="E10" s="14" t="inlineStr">
        <is>
          <t>Apartamento</t>
        </is>
      </c>
      <c r="F10" s="14" t="n"/>
      <c r="G10" s="14" t="n"/>
      <c r="H10" s="14" t="n"/>
      <c r="I10" s="14" t="n"/>
      <c r="J10" s="14" t="n"/>
      <c r="K10" s="14" t="n"/>
      <c r="L10" s="14" t="n">
        <v>750000</v>
      </c>
      <c r="M10" s="14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10" s="14" t="inlineStr">
        <is>
          <t>Nova</t>
        </is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</row>
    <row r="38">
      <c r="A38" s="14" t="inlineStr">
        <is>
          <t>29/06/2026, 15:53:39</t>
        </is>
      </c>
      <c r="B38" s="14" t="inlineStr">
        <is>
          <t>Maringá Apartamentos 🏘️</t>
        </is>
      </c>
      <c r="C38" s="14" t="inlineStr">
        <is>
          <t>João Brenner</t>
        </is>
      </c>
      <c r="D38" s="14" t="inlineStr"/>
      <c r="E38" s="14" t="inlineStr">
        <is>
          <t>Apartamento</t>
        </is>
      </c>
      <c r="F38" s="14" t="inlineStr"/>
      <c r="G38" s="14" t="n"/>
      <c r="H38" s="14" t="n"/>
      <c r="I38" s="14" t="n"/>
      <c r="J38" s="14" t="n"/>
      <c r="K38" s="14" t="n"/>
      <c r="L38" s="14" t="n">
        <v>800000</v>
      </c>
      <c r="M38" s="14" t="inlineStr">
        <is>
          <t>Pessoal,
Alguém com um VISION pra venda, de preferência que pegue outro apartamento de menor valor , na faixa de R$800mil no negócio?
Chama no privado.</t>
        </is>
      </c>
      <c r="N38" s="14" t="inlineStr">
        <is>
          <t>Nova</t>
        </is>
      </c>
    </row>
    <row r="39">
      <c r="A39" s="14" t="inlineStr">
        <is>
          <t>29/06/2026, 16:18:48</t>
        </is>
      </c>
      <c r="B39" s="14" t="inlineStr">
        <is>
          <t>BUSCA DE IMÓVEIS 🏡</t>
        </is>
      </c>
      <c r="C39" s="14" t="inlineStr">
        <is>
          <t>Ludmilla Gargantini</t>
        </is>
      </c>
      <c r="D39" s="14" t="inlineStr"/>
      <c r="E39" s="14" t="inlineStr">
        <is>
          <t>Apartamento</t>
        </is>
      </c>
      <c r="F39" s="14" t="inlineStr"/>
      <c r="G39" s="14" t="n">
        <v>100</v>
      </c>
      <c r="H39" s="14" t="n"/>
      <c r="I39" s="14" t="n"/>
      <c r="J39" s="14" t="n"/>
      <c r="K39" s="14" t="n"/>
      <c r="L39" s="14" t="n"/>
      <c r="M39" s="14" t="inlineStr">
        <is>
          <t>Pessoal
Alguém com apartamento com acessibilidade de 100m² ??
Enviar no PV por favor</t>
        </is>
      </c>
      <c r="N39" s="14" t="inlineStr">
        <is>
          <t>Nova</t>
        </is>
      </c>
    </row>
    <row r="40">
      <c r="A40" s="14" t="inlineStr">
        <is>
          <t>29/06/2026, 16:19:30</t>
        </is>
      </c>
      <c r="B40" s="14" t="inlineStr">
        <is>
          <t>Corretores de sucesso 👏🇧🇷🎉🍾🙌🏡</t>
        </is>
      </c>
      <c r="C40" s="14" t="inlineStr">
        <is>
          <t>Denilson corretor</t>
        </is>
      </c>
      <c r="D40" s="14" t="inlineStr"/>
      <c r="E40" s="14" t="inlineStr">
        <is>
          <t>Casa</t>
        </is>
      </c>
      <c r="F40" s="14" t="inlineStr"/>
      <c r="G40" s="14" t="n"/>
      <c r="H40" s="14" t="n"/>
      <c r="I40" s="14" t="n"/>
      <c r="J40" s="14" t="n"/>
      <c r="K40" s="14" t="n"/>
      <c r="L40" s="14" t="n">
        <v>480000</v>
      </c>
      <c r="M40" s="14" t="inlineStr">
        <is>
          <t>Cliente procura casa na regiao do Dias ate 480 mil Nova  
Para visitar amanhã de manhã</t>
        </is>
      </c>
      <c r="N40" s="14" t="inlineStr">
        <is>
          <t>Nova</t>
        </is>
      </c>
    </row>
    <row r="41">
      <c r="A41" s="14" t="inlineStr">
        <is>
          <t>29/06/2026, 16:28:22</t>
        </is>
      </c>
      <c r="B41" s="14" t="inlineStr">
        <is>
          <t>Maringá Apartamentos 🏘️</t>
        </is>
      </c>
      <c r="C41" s="14" t="inlineStr">
        <is>
          <t>Juliana Brenner Corretora de Imovéis</t>
        </is>
      </c>
      <c r="D41" s="14" t="inlineStr"/>
      <c r="E41" s="14" t="inlineStr">
        <is>
          <t>Apartamento</t>
        </is>
      </c>
      <c r="F41" s="14" t="inlineStr"/>
      <c r="G41" s="14" t="n"/>
      <c r="H41" s="14" t="n"/>
      <c r="I41" s="14" t="n"/>
      <c r="J41" s="14" t="n"/>
      <c r="K41" s="14" t="n"/>
      <c r="L41" s="14" t="n">
        <v>750000</v>
      </c>
      <c r="M41" s="14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41" s="14" t="inlineStr">
        <is>
          <t>Nova</t>
        </is>
      </c>
    </row>
    <row r="42">
      <c r="A42" s="14" t="inlineStr">
        <is>
          <t>29/06/2026, 15:53:39</t>
        </is>
      </c>
      <c r="B42" s="14" t="inlineStr">
        <is>
          <t>Maringá Apartamentos 🏘️</t>
        </is>
      </c>
      <c r="C42" s="14" t="inlineStr">
        <is>
          <t>João Brenner</t>
        </is>
      </c>
      <c r="D42" s="14" t="inlineStr"/>
      <c r="E42" s="14" t="inlineStr">
        <is>
          <t>Apartamento</t>
        </is>
      </c>
      <c r="F42" s="14" t="inlineStr"/>
      <c r="G42" s="14" t="n"/>
      <c r="H42" s="14" t="n"/>
      <c r="I42" s="14" t="n"/>
      <c r="J42" s="14" t="n"/>
      <c r="K42" s="14" t="n"/>
      <c r="L42" s="14" t="n">
        <v>800000</v>
      </c>
      <c r="M42" s="14" t="inlineStr">
        <is>
          <t>Pessoal,
Alguém com um VISION pra venda, de preferência que pegue outro apartamento de menor valor , na faixa de R$800mil no negócio?
Chama no privado.</t>
        </is>
      </c>
      <c r="N42" s="14" t="inlineStr">
        <is>
          <t>Nova</t>
        </is>
      </c>
    </row>
    <row r="43">
      <c r="A43" s="14" t="inlineStr">
        <is>
          <t>29/06/2026, 16:18:48</t>
        </is>
      </c>
      <c r="B43" s="14" t="inlineStr">
        <is>
          <t>BUSCA DE IMÓVEIS 🏡</t>
        </is>
      </c>
      <c r="C43" s="14" t="inlineStr">
        <is>
          <t>Ludmilla Gargantini</t>
        </is>
      </c>
      <c r="D43" s="14" t="inlineStr"/>
      <c r="E43" s="14" t="inlineStr">
        <is>
          <t>Apartamento</t>
        </is>
      </c>
      <c r="F43" s="14" t="inlineStr"/>
      <c r="G43" s="14" t="n">
        <v>100</v>
      </c>
      <c r="H43" s="14" t="n"/>
      <c r="I43" s="14" t="n"/>
      <c r="J43" s="14" t="n"/>
      <c r="K43" s="14" t="n"/>
      <c r="L43" s="14" t="n"/>
      <c r="M43" s="14" t="inlineStr">
        <is>
          <t>Pessoal
Alguém com apartamento com acessibilidade de 100m² ??
Enviar no PV por favor</t>
        </is>
      </c>
      <c r="N43" s="14" t="inlineStr">
        <is>
          <t>Nova</t>
        </is>
      </c>
    </row>
    <row r="44">
      <c r="A44" s="14" t="inlineStr">
        <is>
          <t>29/06/2026, 16:19:30</t>
        </is>
      </c>
      <c r="B44" s="14" t="inlineStr">
        <is>
          <t>Corretores de sucesso 👏🇧🇷🎉🍾🙌🏡</t>
        </is>
      </c>
      <c r="C44" s="14" t="inlineStr">
        <is>
          <t>Denilson corretor</t>
        </is>
      </c>
      <c r="D44" s="14" t="inlineStr"/>
      <c r="E44" s="14" t="inlineStr">
        <is>
          <t>Casa</t>
        </is>
      </c>
      <c r="F44" s="14" t="inlineStr"/>
      <c r="G44" s="14" t="n"/>
      <c r="H44" s="14" t="n"/>
      <c r="I44" s="14" t="n"/>
      <c r="J44" s="14" t="n"/>
      <c r="K44" s="14" t="n"/>
      <c r="L44" s="14" t="n">
        <v>480000</v>
      </c>
      <c r="M44" s="14" t="inlineStr">
        <is>
          <t>Cliente procura casa na regiao do Dias ate 480 mil Nova  
Para visitar amanhã de manhã</t>
        </is>
      </c>
      <c r="N44" s="14" t="inlineStr">
        <is>
          <t>Nova</t>
        </is>
      </c>
    </row>
    <row r="45">
      <c r="A45" s="14" t="inlineStr">
        <is>
          <t>29/06/2026, 16:28:22</t>
        </is>
      </c>
      <c r="B45" s="14" t="inlineStr">
        <is>
          <t>Maringá Apartamentos 🏘️</t>
        </is>
      </c>
      <c r="C45" s="14" t="inlineStr">
        <is>
          <t>Juliana Brenner Corretora de Imovéis</t>
        </is>
      </c>
      <c r="D45" s="14" t="inlineStr"/>
      <c r="E45" s="14" t="inlineStr">
        <is>
          <t>Apartamento</t>
        </is>
      </c>
      <c r="F45" s="14" t="inlineStr"/>
      <c r="G45" s="14" t="n"/>
      <c r="H45" s="14" t="n"/>
      <c r="I45" s="14" t="n"/>
      <c r="J45" s="14" t="n"/>
      <c r="K45" s="14" t="n"/>
      <c r="L45" s="14" t="n">
        <v>750000</v>
      </c>
      <c r="M45" s="14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45" s="14" t="inlineStr">
        <is>
          <t>Nova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</t>
        </is>
      </c>
      <c r="B1" t="inlineStr">
        <is>
          <t>Endereço</t>
        </is>
      </c>
      <c r="C1" t="inlineStr">
        <is>
          <t>Bairro</t>
        </is>
      </c>
      <c r="D1" t="inlineStr">
        <is>
          <t>CEP</t>
        </is>
      </c>
      <c r="E1" t="inlineStr">
        <is>
          <t>Construtora / Incorporadora</t>
        </is>
      </c>
      <c r="F1" t="inlineStr">
        <is>
          <t>Ano Lançamento</t>
        </is>
      </c>
      <c r="G1" t="inlineStr">
        <is>
          <t>Previsão Entrega</t>
        </is>
      </c>
      <c r="H1" t="inlineStr">
        <is>
          <t>Padrão</t>
        </is>
      </c>
      <c r="I1" t="inlineStr">
        <is>
          <t>Torres</t>
        </is>
      </c>
      <c r="J1" t="inlineStr">
        <is>
          <t>Andares</t>
        </is>
      </c>
      <c r="K1" t="inlineStr">
        <is>
          <t>Total Aptos</t>
        </is>
      </c>
      <c r="L1" t="inlineStr">
        <is>
          <t>Área Mín (m²)</t>
        </is>
      </c>
      <c r="M1" t="inlineStr">
        <is>
          <t>Área Máx (m²)</t>
        </is>
      </c>
      <c r="N1" t="inlineStr">
        <is>
          <t>Quartos</t>
        </is>
      </c>
      <c r="O1" t="inlineStr">
        <is>
          <t>Vagas</t>
        </is>
      </c>
      <c r="P1" t="inlineStr">
        <is>
          <t>Lazer</t>
        </is>
      </c>
      <c r="Q1" t="inlineStr">
        <is>
          <t>Faixa de Preço</t>
        </is>
      </c>
      <c r="R1" t="inlineStr">
        <is>
          <t>Observações</t>
        </is>
      </c>
      <c r="S1" t="inlineStr">
        <is>
          <t>Site / Link</t>
        </is>
      </c>
      <c r="T1" t="inlineStr">
        <is>
          <t>Data Cadastro</t>
        </is>
      </c>
    </row>
    <row r="2">
      <c r="A2" s="15" t="inlineStr">
        <is>
          <t>Atmosphere</t>
        </is>
      </c>
      <c r="B2" s="15" t="inlineStr">
        <is>
          <t>Av. Paissandu, 931</t>
        </is>
      </c>
      <c r="C2" s="15" t="inlineStr">
        <is>
          <t>Zona 03</t>
        </is>
      </c>
      <c r="D2" s="15" t="inlineStr">
        <is>
          <t>87050-130</t>
        </is>
      </c>
      <c r="E2" s="15" t="inlineStr">
        <is>
          <t>A.Yoshii Engenharia</t>
        </is>
      </c>
      <c r="F2" s="15" t="inlineStr"/>
      <c r="G2" s="15" t="inlineStr">
        <is>
          <t>Agosto 2025</t>
        </is>
      </c>
      <c r="H2" s="15" t="inlineStr">
        <is>
          <t>Alto Padrão</t>
        </is>
      </c>
      <c r="I2" s="15" t="inlineStr">
        <is>
          <t>1</t>
        </is>
      </c>
      <c r="J2" s="15" t="inlineStr">
        <is>
          <t>24</t>
        </is>
      </c>
      <c r="K2" s="15" t="inlineStr">
        <is>
          <t>96</t>
        </is>
      </c>
      <c r="L2" s="15" t="n">
        <v>147</v>
      </c>
      <c r="M2" s="15" t="n">
        <v>147</v>
      </c>
      <c r="N2" s="15" t="inlineStr">
        <is>
          <t>3 suítes (1 máster + 2 suítes)</t>
        </is>
      </c>
      <c r="O2" s="15" t="inlineStr">
        <is>
          <t>3 vagas</t>
        </is>
      </c>
      <c r="P2" s="15" t="inlineStr">
        <is>
          <t>Piscina, Piscina Coberta, Social Gourmet, Garden Gourmet c/ piscina privativa, Sports Bar, Arena Beach Sports, Fitness, Outdoor Training, Kids Club, Playground, Quadra Esportiva, Storage Room, Bike Stop, Mini Market</t>
        </is>
      </c>
      <c r="Q2" s="15" t="inlineStr">
        <is>
          <t>a partir de R$375.000</t>
        </is>
      </c>
      <c r="R2" s="15" t="inlineStr">
        <is>
          <t>Área total 273m². Arquitetura Spagnuolo e Biagi. Terreno 4.060m². Próximo ao Parque do Ingá.</t>
        </is>
      </c>
      <c r="S2" s="15" t="inlineStr">
        <is>
          <t>https://www.ayoshii.com.br/empreendimentos/atmosphere</t>
        </is>
      </c>
      <c r="T2" s="15" t="inlineStr">
        <is>
          <t>29/06/2026 16:59</t>
        </is>
      </c>
    </row>
    <row r="3">
      <c r="A3" s="14" t="inlineStr">
        <is>
          <t>Vision</t>
        </is>
      </c>
      <c r="B3" s="14" t="inlineStr">
        <is>
          <t>Rua Cambira, 310</t>
        </is>
      </c>
      <c r="C3" s="14" t="inlineStr">
        <is>
          <t>Zona 08</t>
        </is>
      </c>
      <c r="D3" s="14" t="inlineStr">
        <is>
          <t>87050-660</t>
        </is>
      </c>
      <c r="E3" s="14" t="inlineStr">
        <is>
          <t>A.Yoshii</t>
        </is>
      </c>
      <c r="F3" s="14" t="inlineStr">
        <is>
          <t>2022</t>
        </is>
      </c>
      <c r="G3" s="14" t="inlineStr">
        <is>
          <t>Agosto/2026</t>
        </is>
      </c>
      <c r="H3" s="14" t="inlineStr">
        <is>
          <t>Alto Padrão</t>
        </is>
      </c>
      <c r="I3" s="14" t="inlineStr">
        <is>
          <t>1</t>
        </is>
      </c>
      <c r="J3" s="14" t="inlineStr">
        <is>
          <t>29</t>
        </is>
      </c>
      <c r="K3" s="14" t="inlineStr">
        <is>
          <t>116</t>
        </is>
      </c>
      <c r="L3" s="14" t="n">
        <v>120</v>
      </c>
      <c r="M3" s="14" t="n">
        <v>144</v>
      </c>
      <c r="N3" s="14" t="inlineStr">
        <is>
          <t>3 suítes (1 máster + 2 suítes)</t>
        </is>
      </c>
      <c r="O3" s="14" t="inlineStr">
        <is>
          <t>2 ou 3 vagas</t>
        </is>
      </c>
      <c r="P3" s="14" t="inlineStr">
        <is>
          <t>Piscina, Social Gourmet, Garden Gourmet c/ piscina privativa, Sports Bar, Fitness, Outdoor Training, Arena Beach Sports, Beauty Care, Sala de Massagem, Kids Club, Playground, Quadra Esportiva, Lavanderia, Coworking, Bike Stop, Mall c/ 15 lojas</t>
        </is>
      </c>
      <c r="Q3" s="14" t="inlineStr">
        <is>
          <t>Consultar (aprox. R$800k–R$1,5M)</t>
        </is>
      </c>
      <c r="R3" s="14" t="inlineStr">
        <is>
          <t>Entrega ago/2026. 4 aptos por andar. Mall com 15 lojas no térreo.</t>
        </is>
      </c>
      <c r="S3" s="14" t="inlineStr">
        <is>
          <t>https://ayoshii.com.br/empreendimentos/maringa/vision</t>
        </is>
      </c>
      <c r="T3" s="14" t="inlineStr">
        <is>
          <t>29/06/2026 19:17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2026-06-28T00:14:30Z</dcterms:created>
  <dcterms:modified xmlns:dcterms="http://purl.org/dc/terms/" xmlns:xsi="http://www.w3.org/2001/XMLSchema-instance" xsi:type="dcterms:W3CDTF">2026-06-29T20:54:30Z</dcterms:modified>
</cp:coreProperties>
</file>