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Resumo" sheetId="1" state="visible" r:id="rId1"/>
    <sheet xmlns:r="http://schemas.openxmlformats.org/officeDocument/2006/relationships" name="📋 Venda" sheetId="2" state="visible" r:id="rId2"/>
    <sheet xmlns:r="http://schemas.openxmlformats.org/officeDocument/2006/relationships" name="🔑 Locação" sheetId="3" state="visible" r:id="rId3"/>
  </sheets>
  <definedNames>
    <definedName name="_xlnm._FilterDatabase" localSheetId="1" hidden="1">'📋 Venda'!$A$2:$O$2</definedName>
    <definedName name="_xlnm._FilterDatabase" localSheetId="2" hidden="1">'🔑 Locação'!$A$2:$O$2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color rgb="00FFFFFF"/>
      <sz val="16"/>
    </font>
    <font>
      <name val="Arial"/>
      <b val="1"/>
      <sz val="11"/>
    </font>
    <font>
      <name val="Arial"/>
      <sz val="11"/>
    </font>
  </fonts>
  <fills count="8">
    <fill>
      <patternFill/>
    </fill>
    <fill>
      <patternFill patternType="gray125"/>
    </fill>
    <fill>
      <patternFill patternType="solid">
        <fgColor rgb="001E6B3C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1A3C6B"/>
      </patternFill>
    </fill>
    <fill>
      <patternFill patternType="solid">
        <fgColor rgb="00E0E0E0"/>
      </patternFill>
    </fill>
    <fill>
      <patternFill patternType="solid">
        <fgColor rgb="00EAF4E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164" fontId="3" fillId="3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8" customWidth="1" min="3" max="3"/>
    <col width="12" customWidth="1" min="4" max="4"/>
  </cols>
  <sheetData>
    <row r="1" ht="30" customHeight="1">
      <c r="A1" s="1" t="inlineStr">
        <is>
          <t>Junior Joda Soluções Imobiliárias</t>
        </is>
      </c>
    </row>
    <row r="2">
      <c r="A2" s="2" t="inlineStr"/>
      <c r="B2" s="3" t="inlineStr">
        <is>
          <t>Venda</t>
        </is>
      </c>
      <c r="C2" s="3" t="inlineStr">
        <is>
          <t>Locação</t>
        </is>
      </c>
      <c r="D2" s="3" t="inlineStr">
        <is>
          <t>Total</t>
        </is>
      </c>
    </row>
    <row r="3">
      <c r="A3" s="4" t="inlineStr">
        <is>
          <t>Total de imóveis</t>
        </is>
      </c>
      <c r="B3" s="5">
        <f>COUNTA('📋 Venda'!A3:A1000)</f>
        <v/>
      </c>
      <c r="C3" s="5">
        <f>COUNTA('🔑 Locação'!A3:A1000)</f>
        <v/>
      </c>
      <c r="D3" s="5">
        <f>B3+C3</f>
        <v/>
      </c>
    </row>
    <row r="4">
      <c r="A4" s="4" t="inlineStr">
        <is>
          <t>Preço mínimo (R$)</t>
        </is>
      </c>
      <c r="B4" s="6">
        <f>MINIFS('📋 Venda'!M3:M1000,'📋 Venda'!M3:M1000,"&gt;0")</f>
        <v/>
      </c>
      <c r="C4" s="6">
        <f>MINIFS('🔑 Locação'!M3:M1000,'🔑 Locação'!M3:M1000,"&gt;0")</f>
        <v/>
      </c>
      <c r="D4" s="5" t="inlineStr"/>
    </row>
    <row r="5">
      <c r="A5" s="4" t="inlineStr">
        <is>
          <t>Preço máximo (R$)</t>
        </is>
      </c>
      <c r="B5" s="6">
        <f>MAX('📋 Venda'!M3:M1000)</f>
        <v/>
      </c>
      <c r="C5" s="6">
        <f>MAX('🔑 Locação'!M3:M1000)</f>
        <v/>
      </c>
      <c r="D5" s="5" t="inlineStr"/>
    </row>
    <row r="6">
      <c r="A6" s="4" t="inlineStr">
        <is>
          <t>Preço médio (R$)</t>
        </is>
      </c>
      <c r="B6" s="6">
        <f>AVERAGEIF('📋 Venda'!M3:M1000,"&gt;0")</f>
        <v/>
      </c>
      <c r="C6" s="6">
        <f>AVERAGEIF('🔑 Locação'!M3:M1000,"&gt;0")</f>
        <v/>
      </c>
      <c r="D6" s="5" t="inlineStr"/>
    </row>
    <row r="7">
      <c r="A7" s="4" t="inlineStr"/>
      <c r="B7" s="5" t="inlineStr"/>
      <c r="C7" s="5" t="inlineStr"/>
      <c r="D7" s="5" t="inlineStr"/>
    </row>
    <row r="8">
      <c r="A8" s="4" t="inlineStr">
        <is>
          <t>Contato Imobiliária</t>
        </is>
      </c>
      <c r="B8" s="5" t="inlineStr">
        <is>
          <t>(44) 3354-9970</t>
        </is>
      </c>
      <c r="C8" s="5" t="inlineStr"/>
      <c r="D8" s="5" t="inlineStr"/>
    </row>
    <row r="9">
      <c r="A9" s="4" t="inlineStr">
        <is>
          <t>WhatsApp</t>
        </is>
      </c>
      <c r="B9" s="5" t="inlineStr">
        <is>
          <t>(44) 98813-2965</t>
        </is>
      </c>
      <c r="C9" s="5" t="inlineStr"/>
      <c r="D9" s="5" t="inlineStr"/>
    </row>
    <row r="10">
      <c r="A10" s="4" t="inlineStr">
        <is>
          <t>CRECI</t>
        </is>
      </c>
      <c r="B10" s="5" t="inlineStr">
        <is>
          <t>F11108</t>
        </is>
      </c>
      <c r="C10" s="5" t="inlineStr"/>
      <c r="D10" s="5" t="inlineStr"/>
    </row>
    <row r="11">
      <c r="A11" s="4" t="inlineStr">
        <is>
          <t>Site</t>
        </is>
      </c>
      <c r="B11" s="5" t="inlineStr">
        <is>
          <t>juniorjoda.com.br</t>
        </is>
      </c>
      <c r="C11" s="5" t="inlineStr"/>
      <c r="D11" s="5" t="inlineStr"/>
    </row>
    <row r="12">
      <c r="A12" s="4" t="inlineStr">
        <is>
          <t>Extração</t>
        </is>
      </c>
      <c r="B12" s="5" t="inlineStr">
        <is>
          <t>28/06/2026 01:26</t>
        </is>
      </c>
      <c r="C12" s="5" t="inlineStr"/>
      <c r="D12" s="5" t="inlineStr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6" customWidth="1" min="3" max="3"/>
    <col width="24" customWidth="1" min="4" max="4"/>
    <col width="18" customWidth="1" min="5" max="5"/>
    <col width="36" customWidth="1" min="6" max="6"/>
    <col width="14" customWidth="1" min="7" max="7"/>
    <col width="14" customWidth="1" min="8" max="8"/>
    <col width="14" customWidth="1" min="9" max="9"/>
    <col width="8" customWidth="1" min="10" max="10"/>
    <col width="8" customWidth="1" min="11" max="11"/>
    <col width="8" customWidth="1" min="12" max="12"/>
    <col width="18" customWidth="1" min="13" max="13"/>
    <col width="14" customWidth="1" min="14" max="14"/>
    <col width="55" customWidth="1" min="15" max="15"/>
  </cols>
  <sheetData>
    <row r="1" ht="28" customHeight="1">
      <c r="A1" s="7" t="inlineStr">
        <is>
          <t>🏠 Junior Joda Soluções Imobiliárias — Imóveis para Venda  |  Extraído em 28/06/2026</t>
        </is>
      </c>
    </row>
    <row r="2" ht="22" customHeight="1">
      <c r="A2" s="8" t="inlineStr">
        <is>
          <t>Ref.</t>
        </is>
      </c>
      <c r="B2" s="8" t="inlineStr">
        <is>
          <t>Tipo</t>
        </is>
      </c>
      <c r="C2" s="8" t="inlineStr">
        <is>
          <t>Empreendimento</t>
        </is>
      </c>
      <c r="D2" s="8" t="inlineStr">
        <is>
          <t>Bairro / Localização</t>
        </is>
      </c>
      <c r="E2" s="8" t="inlineStr">
        <is>
          <t>Cidade</t>
        </is>
      </c>
      <c r="F2" s="8" t="inlineStr">
        <is>
          <t>Endereço</t>
        </is>
      </c>
      <c r="G2" s="8" t="inlineStr">
        <is>
          <t>Área Priv. (m²)</t>
        </is>
      </c>
      <c r="H2" s="8" t="inlineStr">
        <is>
          <t>Área Total (m²)</t>
        </is>
      </c>
      <c r="I2" s="8" t="inlineStr">
        <is>
          <t>Área Terreno (m²)</t>
        </is>
      </c>
      <c r="J2" s="8" t="inlineStr">
        <is>
          <t>Quartos</t>
        </is>
      </c>
      <c r="K2" s="8" t="inlineStr">
        <is>
          <t>Suítes</t>
        </is>
      </c>
      <c r="L2" s="8" t="inlineStr">
        <is>
          <t>Vagas</t>
        </is>
      </c>
      <c r="M2" s="8" t="inlineStr">
        <is>
          <t>Preço (R$)</t>
        </is>
      </c>
      <c r="N2" s="8" t="inlineStr">
        <is>
          <t>Obs.</t>
        </is>
      </c>
      <c r="O2" s="8" t="inlineStr">
        <is>
          <t>Link</t>
        </is>
      </c>
    </row>
    <row r="3">
      <c r="A3" s="9" t="inlineStr">
        <is>
          <t>43820000016</t>
        </is>
      </c>
      <c r="B3" s="9" t="inlineStr">
        <is>
          <t>Apartamento</t>
        </is>
      </c>
      <c r="C3" s="10" t="inlineStr">
        <is>
          <t>Magnifique</t>
        </is>
      </c>
      <c r="D3" s="10" t="inlineStr">
        <is>
          <t>Zona 01 Centro</t>
        </is>
      </c>
      <c r="E3" s="9" t="inlineStr">
        <is>
          <t>Maringá - PR</t>
        </is>
      </c>
      <c r="F3" s="10" t="inlineStr">
        <is>
          <t>Av. XV de Novembro</t>
        </is>
      </c>
      <c r="G3" s="9" t="n">
        <v>245</v>
      </c>
      <c r="H3" s="9" t="n">
        <v>437.21</v>
      </c>
      <c r="I3" s="9" t="n"/>
      <c r="J3" s="9" t="n"/>
      <c r="K3" s="9" t="n"/>
      <c r="L3" s="9" t="n">
        <v>4</v>
      </c>
      <c r="M3" s="9" t="inlineStr">
        <is>
          <t>Consulte</t>
        </is>
      </c>
      <c r="N3" s="9" t="inlineStr"/>
      <c r="O3" s="11">
        <f>HYPERLINK("https://juniorjoda.com.br/imovel/43820000016/","Ver anúncio")</f>
        <v/>
      </c>
    </row>
    <row r="4">
      <c r="A4" s="12" t="inlineStr">
        <is>
          <t>43820000185</t>
        </is>
      </c>
      <c r="B4" s="12" t="inlineStr">
        <is>
          <t>Terreno Comercial</t>
        </is>
      </c>
      <c r="C4" s="13" t="inlineStr"/>
      <c r="D4" s="13" t="inlineStr">
        <is>
          <t>Jardim Aurora</t>
        </is>
      </c>
      <c r="E4" s="12" t="inlineStr">
        <is>
          <t>Maringá - PR</t>
        </is>
      </c>
      <c r="F4" s="13" t="inlineStr">
        <is>
          <t>R. Marcello Emerson Franchini</t>
        </is>
      </c>
      <c r="G4" s="12" t="n"/>
      <c r="H4" s="12" t="n">
        <v>2080.55</v>
      </c>
      <c r="I4" s="12" t="n">
        <v>2080.55</v>
      </c>
      <c r="J4" s="12" t="n"/>
      <c r="K4" s="12" t="n"/>
      <c r="L4" s="12" t="n"/>
      <c r="M4" s="12" t="inlineStr">
        <is>
          <t>Consulte</t>
        </is>
      </c>
      <c r="N4" s="12" t="inlineStr"/>
      <c r="O4" s="14">
        <f>HYPERLINK("https://juniorjoda.com.br/imovel/43820000185/","Ver anúncio")</f>
        <v/>
      </c>
    </row>
    <row r="5">
      <c r="A5" s="9" t="inlineStr">
        <is>
          <t>43820000006</t>
        </is>
      </c>
      <c r="B5" s="9" t="inlineStr">
        <is>
          <t>Terreno</t>
        </is>
      </c>
      <c r="C5" s="10" t="inlineStr"/>
      <c r="D5" s="10" t="inlineStr">
        <is>
          <t>Jardim Dias II</t>
        </is>
      </c>
      <c r="E5" s="9" t="inlineStr">
        <is>
          <t>Maringá - PR</t>
        </is>
      </c>
      <c r="F5" s="10" t="inlineStr">
        <is>
          <t>R. Domingos Santa Cruz</t>
        </is>
      </c>
      <c r="G5" s="9" t="n"/>
      <c r="H5" s="9" t="n">
        <v>150.62</v>
      </c>
      <c r="I5" s="9" t="n">
        <v>150.62</v>
      </c>
      <c r="J5" s="9" t="n"/>
      <c r="K5" s="9" t="n"/>
      <c r="L5" s="9" t="n"/>
      <c r="M5" s="15" t="n">
        <v>195000</v>
      </c>
      <c r="N5" s="9" t="inlineStr"/>
      <c r="O5" s="11">
        <f>HYPERLINK("https://juniorjoda.com.br/imovel/43820000006/","Ver anúncio")</f>
        <v/>
      </c>
    </row>
    <row r="6">
      <c r="A6" s="12" t="inlineStr">
        <is>
          <t>43820000007</t>
        </is>
      </c>
      <c r="B6" s="12" t="inlineStr">
        <is>
          <t>Terreno</t>
        </is>
      </c>
      <c r="C6" s="13" t="inlineStr"/>
      <c r="D6" s="13" t="inlineStr">
        <is>
          <t>Ecovalley Ecologic City</t>
        </is>
      </c>
      <c r="E6" s="12" t="inlineStr">
        <is>
          <t>Sarandi - PR</t>
        </is>
      </c>
      <c r="F6" s="13" t="inlineStr">
        <is>
          <t>R. 9351</t>
        </is>
      </c>
      <c r="G6" s="12" t="n"/>
      <c r="H6" s="12" t="n">
        <v>302.8</v>
      </c>
      <c r="I6" s="12" t="n">
        <v>302.8</v>
      </c>
      <c r="J6" s="12" t="n"/>
      <c r="K6" s="12" t="n"/>
      <c r="L6" s="12" t="n"/>
      <c r="M6" s="16" t="n">
        <v>195000</v>
      </c>
      <c r="N6" s="12" t="inlineStr"/>
      <c r="O6" s="14">
        <f>HYPERLINK("https://juniorjoda.com.br/imovel/43820000007/","Ver anúncio")</f>
        <v/>
      </c>
    </row>
    <row r="7">
      <c r="A7" s="9" t="inlineStr">
        <is>
          <t>43820000029</t>
        </is>
      </c>
      <c r="B7" s="9" t="inlineStr">
        <is>
          <t>Sala Comercial</t>
        </is>
      </c>
      <c r="C7" s="10" t="inlineStr"/>
      <c r="D7" s="10" t="inlineStr">
        <is>
          <t>Zona 06</t>
        </is>
      </c>
      <c r="E7" s="9" t="inlineStr">
        <is>
          <t>Maringá - PR</t>
        </is>
      </c>
      <c r="F7" s="10" t="inlineStr">
        <is>
          <t>R. João Vercesi</t>
        </is>
      </c>
      <c r="G7" s="9" t="n">
        <v>39.08</v>
      </c>
      <c r="H7" s="9" t="n">
        <v>55.52</v>
      </c>
      <c r="I7" s="9" t="n"/>
      <c r="J7" s="9" t="n"/>
      <c r="K7" s="9" t="n"/>
      <c r="L7" s="9" t="n"/>
      <c r="M7" s="15" t="n">
        <v>195000</v>
      </c>
      <c r="N7" s="9" t="inlineStr"/>
      <c r="O7" s="11">
        <f>HYPERLINK("https://juniorjoda.com.br/imovel/43820000029/","Ver anúncio")</f>
        <v/>
      </c>
    </row>
    <row r="8">
      <c r="A8" s="12" t="inlineStr">
        <is>
          <t>43820000074</t>
        </is>
      </c>
      <c r="B8" s="12" t="inlineStr">
        <is>
          <t>Terreno</t>
        </is>
      </c>
      <c r="C8" s="13" t="inlineStr"/>
      <c r="D8" s="13" t="inlineStr">
        <is>
          <t>Ecovalley Ecologic City</t>
        </is>
      </c>
      <c r="E8" s="12" t="inlineStr">
        <is>
          <t>Sarandi - PR</t>
        </is>
      </c>
      <c r="F8" s="13" t="inlineStr">
        <is>
          <t>R. 9330</t>
        </is>
      </c>
      <c r="G8" s="12" t="n"/>
      <c r="H8" s="12" t="n">
        <v>302.8</v>
      </c>
      <c r="I8" s="12" t="n">
        <v>302.8</v>
      </c>
      <c r="J8" s="12" t="n"/>
      <c r="K8" s="12" t="n"/>
      <c r="L8" s="12" t="n"/>
      <c r="M8" s="16" t="n">
        <v>195000</v>
      </c>
      <c r="N8" s="12" t="inlineStr"/>
      <c r="O8" s="14">
        <f>HYPERLINK("https://juniorjoda.com.br/imovel/43820000074/","Ver anúncio")</f>
        <v/>
      </c>
    </row>
    <row r="9">
      <c r="A9" s="9" t="inlineStr">
        <is>
          <t>43820000003</t>
        </is>
      </c>
      <c r="B9" s="9" t="inlineStr">
        <is>
          <t>Terreno</t>
        </is>
      </c>
      <c r="C9" s="10" t="inlineStr"/>
      <c r="D9" s="10" t="inlineStr">
        <is>
          <t>Gleba Ribeirão Maringá</t>
        </is>
      </c>
      <c r="E9" s="9" t="inlineStr">
        <is>
          <t>Maringá - PR</t>
        </is>
      </c>
      <c r="F9" s="10" t="inlineStr">
        <is>
          <t>Estrada Ibipitanga</t>
        </is>
      </c>
      <c r="G9" s="9" t="n"/>
      <c r="H9" s="9" t="n">
        <v>1000.49</v>
      </c>
      <c r="I9" s="9" t="n">
        <v>1000.49</v>
      </c>
      <c r="J9" s="9" t="n"/>
      <c r="K9" s="9" t="n"/>
      <c r="L9" s="9" t="n"/>
      <c r="M9" s="15" t="n">
        <v>215000</v>
      </c>
      <c r="N9" s="9" t="inlineStr"/>
      <c r="O9" s="11">
        <f>HYPERLINK("https://juniorjoda.com.br/imovel/43820000003/","Ver anúncio")</f>
        <v/>
      </c>
    </row>
    <row r="10">
      <c r="A10" s="12" t="inlineStr">
        <is>
          <t>43820000173</t>
        </is>
      </c>
      <c r="B10" s="12" t="inlineStr">
        <is>
          <t>Casa</t>
        </is>
      </c>
      <c r="C10" s="13" t="inlineStr"/>
      <c r="D10" s="13" t="inlineStr">
        <is>
          <t>Loteamento Madrid</t>
        </is>
      </c>
      <c r="E10" s="12" t="inlineStr">
        <is>
          <t>Maringá - PR</t>
        </is>
      </c>
      <c r="F10" s="13" t="inlineStr">
        <is>
          <t>R. Pioneiro Paschoal Locatelli</t>
        </is>
      </c>
      <c r="G10" s="12" t="n">
        <v>90.38</v>
      </c>
      <c r="H10" s="12" t="n"/>
      <c r="I10" s="12" t="n">
        <v>150</v>
      </c>
      <c r="J10" s="12" t="n">
        <v>2</v>
      </c>
      <c r="K10" s="12" t="n">
        <v>1</v>
      </c>
      <c r="L10" s="12" t="n">
        <v>2</v>
      </c>
      <c r="M10" s="16" t="n">
        <v>330000</v>
      </c>
      <c r="N10" s="12" t="inlineStr"/>
      <c r="O10" s="14">
        <f>HYPERLINK("https://juniorjoda.com.br/imovel/43820000173/","Ver anúncio")</f>
        <v/>
      </c>
    </row>
    <row r="11">
      <c r="A11" s="9" t="inlineStr">
        <is>
          <t>43820000160</t>
        </is>
      </c>
      <c r="B11" s="9" t="inlineStr">
        <is>
          <t>Casa</t>
        </is>
      </c>
      <c r="C11" s="10" t="inlineStr"/>
      <c r="D11" s="10" t="inlineStr">
        <is>
          <t>Parque Avenida</t>
        </is>
      </c>
      <c r="E11" s="9" t="inlineStr">
        <is>
          <t>Maringá - PR</t>
        </is>
      </c>
      <c r="F11" s="10" t="inlineStr">
        <is>
          <t>R. Allan Kardec</t>
        </is>
      </c>
      <c r="G11" s="9" t="n">
        <v>187</v>
      </c>
      <c r="H11" s="9" t="n"/>
      <c r="I11" s="9" t="n">
        <v>300</v>
      </c>
      <c r="J11" s="9" t="n">
        <v>3</v>
      </c>
      <c r="K11" s="9" t="n"/>
      <c r="L11" s="9" t="n">
        <v>4</v>
      </c>
      <c r="M11" s="15" t="n">
        <v>350000</v>
      </c>
      <c r="N11" s="9" t="inlineStr"/>
      <c r="O11" s="11">
        <f>HYPERLINK("https://juniorjoda.com.br/imovel/43820000160/","Ver anúncio")</f>
        <v/>
      </c>
    </row>
    <row r="12">
      <c r="A12" s="12" t="inlineStr">
        <is>
          <t>43820000152</t>
        </is>
      </c>
      <c r="B12" s="12" t="inlineStr">
        <is>
          <t>Apartamento</t>
        </is>
      </c>
      <c r="C12" s="13" t="inlineStr">
        <is>
          <t>Rouget Village</t>
        </is>
      </c>
      <c r="D12" s="13" t="inlineStr">
        <is>
          <t>Zona 07</t>
        </is>
      </c>
      <c r="E12" s="12" t="inlineStr">
        <is>
          <t>Maringá - PR</t>
        </is>
      </c>
      <c r="F12" s="13" t="inlineStr">
        <is>
          <t>R. Jangada</t>
        </is>
      </c>
      <c r="G12" s="12" t="n">
        <v>55</v>
      </c>
      <c r="H12" s="12" t="n">
        <v>105.16</v>
      </c>
      <c r="I12" s="12" t="n"/>
      <c r="J12" s="12" t="n">
        <v>2</v>
      </c>
      <c r="K12" s="12" t="n"/>
      <c r="L12" s="12" t="n">
        <v>1</v>
      </c>
      <c r="M12" s="16" t="n">
        <v>360000</v>
      </c>
      <c r="N12" s="12" t="inlineStr"/>
      <c r="O12" s="14">
        <f>HYPERLINK("https://juniorjoda.com.br/imovel/43820000152/","Ver anúncio")</f>
        <v/>
      </c>
    </row>
    <row r="13">
      <c r="A13" s="9" t="inlineStr">
        <is>
          <t>43820000133</t>
        </is>
      </c>
      <c r="B13" s="9" t="inlineStr">
        <is>
          <t>Chácara em Área de Lazer</t>
        </is>
      </c>
      <c r="C13" s="10" t="inlineStr"/>
      <c r="D13" s="10" t="inlineStr">
        <is>
          <t>Jardim São Paulo II</t>
        </is>
      </c>
      <c r="E13" s="9" t="inlineStr">
        <is>
          <t>Sarandi - PR</t>
        </is>
      </c>
      <c r="F13" s="10" t="inlineStr">
        <is>
          <t>R. Projetada M</t>
        </is>
      </c>
      <c r="G13" s="9" t="n"/>
      <c r="H13" s="9" t="n"/>
      <c r="I13" s="9" t="n"/>
      <c r="J13" s="9" t="n"/>
      <c r="K13" s="9" t="n"/>
      <c r="L13" s="9" t="n"/>
      <c r="M13" s="15" t="n">
        <v>420000</v>
      </c>
      <c r="N13" s="9" t="inlineStr"/>
      <c r="O13" s="11">
        <f>HYPERLINK("https://juniorjoda.com.br/imovel/43820000133/","Ver anúncio")</f>
        <v/>
      </c>
    </row>
    <row r="14">
      <c r="A14" s="12" t="inlineStr">
        <is>
          <t>43820000067</t>
        </is>
      </c>
      <c r="B14" s="12" t="inlineStr">
        <is>
          <t>Terreno</t>
        </is>
      </c>
      <c r="C14" s="13" t="inlineStr"/>
      <c r="D14" s="13" t="inlineStr">
        <is>
          <t>Jardim São Basilio</t>
        </is>
      </c>
      <c r="E14" s="12" t="inlineStr">
        <is>
          <t>Maringá - PR</t>
        </is>
      </c>
      <c r="F14" s="13" t="inlineStr">
        <is>
          <t>R. Tranquilo Morgon</t>
        </is>
      </c>
      <c r="G14" s="12" t="n"/>
      <c r="H14" s="12" t="n">
        <v>648.8</v>
      </c>
      <c r="I14" s="12" t="n">
        <v>648.8</v>
      </c>
      <c r="J14" s="12" t="n"/>
      <c r="K14" s="12" t="n"/>
      <c r="L14" s="12" t="n"/>
      <c r="M14" s="16" t="n">
        <v>440000</v>
      </c>
      <c r="N14" s="12" t="inlineStr"/>
      <c r="O14" s="14">
        <f>HYPERLINK("https://juniorjoda.com.br/imovel/43820000067/","Ver anúncio")</f>
        <v/>
      </c>
    </row>
    <row r="15">
      <c r="A15" s="9" t="inlineStr">
        <is>
          <t>43820000220</t>
        </is>
      </c>
      <c r="B15" s="9" t="inlineStr">
        <is>
          <t>Terreno em Condomínio</t>
        </is>
      </c>
      <c r="C15" s="10" t="inlineStr">
        <is>
          <t>Alphaville</t>
        </is>
      </c>
      <c r="D15" s="10" t="inlineStr">
        <is>
          <t>Iguaraçu</t>
        </is>
      </c>
      <c r="E15" s="9" t="inlineStr">
        <is>
          <t>Iguaraçu - PR</t>
        </is>
      </c>
      <c r="F15" s="10" t="inlineStr">
        <is>
          <t>Rodovia PR317 Km 15</t>
        </is>
      </c>
      <c r="G15" s="9" t="n"/>
      <c r="H15" s="9" t="n">
        <v>455.53</v>
      </c>
      <c r="I15" s="9" t="n">
        <v>455.53</v>
      </c>
      <c r="J15" s="9" t="n"/>
      <c r="K15" s="9" t="n"/>
      <c r="L15" s="9" t="n"/>
      <c r="M15" s="15" t="n">
        <v>480000</v>
      </c>
      <c r="N15" s="9" t="inlineStr"/>
      <c r="O15" s="11">
        <f>HYPERLINK("https://juniorjoda.com.br/imovel/43820000220/","Ver anúncio")</f>
        <v/>
      </c>
    </row>
    <row r="16">
      <c r="A16" s="12" t="inlineStr">
        <is>
          <t>43820000199</t>
        </is>
      </c>
      <c r="B16" s="12" t="inlineStr">
        <is>
          <t>Apartamento</t>
        </is>
      </c>
      <c r="C16" s="13" t="inlineStr">
        <is>
          <t>Portal de Elyon</t>
        </is>
      </c>
      <c r="D16" s="13" t="inlineStr">
        <is>
          <t>Jardim Aclimação</t>
        </is>
      </c>
      <c r="E16" s="12" t="inlineStr">
        <is>
          <t>Maringá - PR</t>
        </is>
      </c>
      <c r="F16" s="13" t="inlineStr">
        <is>
          <t>Av. Dr. Gastão Vidigal</t>
        </is>
      </c>
      <c r="G16" s="12" t="n">
        <v>84</v>
      </c>
      <c r="H16" s="12" t="n">
        <v>110</v>
      </c>
      <c r="I16" s="12" t="n"/>
      <c r="J16" s="12" t="n">
        <v>2</v>
      </c>
      <c r="K16" s="12" t="n">
        <v>1</v>
      </c>
      <c r="L16" s="12" t="n">
        <v>1</v>
      </c>
      <c r="M16" s="16" t="n">
        <v>520000</v>
      </c>
      <c r="N16" s="12" t="inlineStr"/>
      <c r="O16" s="14">
        <f>HYPERLINK("https://juniorjoda.com.br/imovel/43820000199/","Ver anúncio")</f>
        <v/>
      </c>
    </row>
    <row r="17">
      <c r="A17" s="9" t="inlineStr">
        <is>
          <t>43820000143</t>
        </is>
      </c>
      <c r="B17" s="9" t="inlineStr">
        <is>
          <t>Terreno</t>
        </is>
      </c>
      <c r="C17" s="10" t="inlineStr"/>
      <c r="D17" s="10" t="inlineStr">
        <is>
          <t>Zona 04</t>
        </is>
      </c>
      <c r="E17" s="9" t="inlineStr">
        <is>
          <t>Maringá - PR</t>
        </is>
      </c>
      <c r="F17" s="10" t="inlineStr">
        <is>
          <t>R. Cerqueira Cézar</t>
        </is>
      </c>
      <c r="G17" s="9" t="n"/>
      <c r="H17" s="9" t="n">
        <v>372.42</v>
      </c>
      <c r="I17" s="9" t="n">
        <v>372.42</v>
      </c>
      <c r="J17" s="9" t="n"/>
      <c r="K17" s="9" t="n"/>
      <c r="L17" s="9" t="n"/>
      <c r="M17" s="15" t="n">
        <v>530000</v>
      </c>
      <c r="N17" s="9" t="inlineStr"/>
      <c r="O17" s="11">
        <f>HYPERLINK("https://juniorjoda.com.br/imovel/43820000143/","Ver anúncio")</f>
        <v/>
      </c>
    </row>
    <row r="18">
      <c r="A18" s="12" t="inlineStr">
        <is>
          <t>43820000142</t>
        </is>
      </c>
      <c r="B18" s="12" t="inlineStr">
        <is>
          <t>Casa</t>
        </is>
      </c>
      <c r="C18" s="13" t="inlineStr"/>
      <c r="D18" s="13" t="inlineStr">
        <is>
          <t>Jardim Pinheiros</t>
        </is>
      </c>
      <c r="E18" s="12" t="inlineStr">
        <is>
          <t>Maringá - PR</t>
        </is>
      </c>
      <c r="F18" s="13" t="inlineStr">
        <is>
          <t>R. Sequóia</t>
        </is>
      </c>
      <c r="G18" s="12" t="n">
        <v>98.8</v>
      </c>
      <c r="H18" s="12" t="n"/>
      <c r="I18" s="12" t="n">
        <v>150</v>
      </c>
      <c r="J18" s="12" t="n">
        <v>2</v>
      </c>
      <c r="K18" s="12" t="n">
        <v>1</v>
      </c>
      <c r="L18" s="12" t="n">
        <v>2</v>
      </c>
      <c r="M18" s="16" t="n">
        <v>550000</v>
      </c>
      <c r="N18" s="12" t="inlineStr"/>
      <c r="O18" s="14">
        <f>HYPERLINK("https://juniorjoda.com.br/imovel/43820000142/","Ver anúncio")</f>
        <v/>
      </c>
    </row>
    <row r="19">
      <c r="A19" s="9" t="inlineStr">
        <is>
          <t>43820000154</t>
        </is>
      </c>
      <c r="B19" s="9" t="inlineStr">
        <is>
          <t>Apartamento</t>
        </is>
      </c>
      <c r="C19" s="10" t="inlineStr">
        <is>
          <t>Residencial Magnanti</t>
        </is>
      </c>
      <c r="D19" s="10" t="inlineStr">
        <is>
          <t>Jardim Cerro Azul</t>
        </is>
      </c>
      <c r="E19" s="9" t="inlineStr">
        <is>
          <t>Maringá - PR</t>
        </is>
      </c>
      <c r="F19" s="10" t="inlineStr">
        <is>
          <t>R. Pioneiro Waldemar Lingiardi</t>
        </is>
      </c>
      <c r="G19" s="9" t="n">
        <v>83.03</v>
      </c>
      <c r="H19" s="9" t="n">
        <v>105.22</v>
      </c>
      <c r="I19" s="9" t="n"/>
      <c r="J19" s="9" t="n">
        <v>2</v>
      </c>
      <c r="K19" s="9" t="n">
        <v>1</v>
      </c>
      <c r="L19" s="9" t="n">
        <v>2</v>
      </c>
      <c r="M19" s="15" t="n">
        <v>580000</v>
      </c>
      <c r="N19" s="9" t="inlineStr"/>
      <c r="O19" s="11">
        <f>HYPERLINK("https://juniorjoda.com.br/imovel/43820000154/","Ver anúncio")</f>
        <v/>
      </c>
    </row>
    <row r="20">
      <c r="A20" s="12" t="inlineStr">
        <is>
          <t>43820000219</t>
        </is>
      </c>
      <c r="B20" s="12" t="inlineStr">
        <is>
          <t>Terreno em Condomínio</t>
        </is>
      </c>
      <c r="C20" s="13" t="inlineStr">
        <is>
          <t>Alphaville</t>
        </is>
      </c>
      <c r="D20" s="13" t="inlineStr">
        <is>
          <t>Iguaraçu</t>
        </is>
      </c>
      <c r="E20" s="12" t="inlineStr">
        <is>
          <t>Iguaraçu - PR</t>
        </is>
      </c>
      <c r="F20" s="13" t="inlineStr">
        <is>
          <t>Rodovia PR317 Km 15</t>
        </is>
      </c>
      <c r="G20" s="12" t="n"/>
      <c r="H20" s="12" t="n">
        <v>600.3099999999999</v>
      </c>
      <c r="I20" s="12" t="n">
        <v>600.3099999999999</v>
      </c>
      <c r="J20" s="12" t="n"/>
      <c r="K20" s="12" t="n"/>
      <c r="L20" s="12" t="n"/>
      <c r="M20" s="16" t="n">
        <v>600000</v>
      </c>
      <c r="N20" s="12" t="inlineStr"/>
      <c r="O20" s="14">
        <f>HYPERLINK("https://juniorjoda.com.br/imovel/43820000219/","Ver anúncio")</f>
        <v/>
      </c>
    </row>
    <row r="21">
      <c r="A21" s="9" t="inlineStr">
        <is>
          <t>43820000215</t>
        </is>
      </c>
      <c r="B21" s="9" t="inlineStr">
        <is>
          <t>Terreno em Condomínio</t>
        </is>
      </c>
      <c r="C21" s="10" t="inlineStr">
        <is>
          <t>Alphaville</t>
        </is>
      </c>
      <c r="D21" s="10" t="inlineStr">
        <is>
          <t>Iguaraçu</t>
        </is>
      </c>
      <c r="E21" s="9" t="inlineStr">
        <is>
          <t>Iguaraçu - PR</t>
        </is>
      </c>
      <c r="F21" s="10" t="inlineStr">
        <is>
          <t>Rodovia PR317 Km 15</t>
        </is>
      </c>
      <c r="G21" s="9" t="n"/>
      <c r="H21" s="9" t="n">
        <v>623.9400000000001</v>
      </c>
      <c r="I21" s="9" t="n">
        <v>623.9400000000001</v>
      </c>
      <c r="J21" s="9" t="n"/>
      <c r="K21" s="9" t="n"/>
      <c r="L21" s="9" t="n"/>
      <c r="M21" s="15" t="n">
        <v>625000</v>
      </c>
      <c r="N21" s="9" t="inlineStr"/>
      <c r="O21" s="11">
        <f>HYPERLINK("https://juniorjoda.com.br/imovel/43820000215/","Ver anúncio")</f>
        <v/>
      </c>
    </row>
    <row r="22">
      <c r="A22" s="12" t="inlineStr">
        <is>
          <t>43820000205</t>
        </is>
      </c>
      <c r="B22" s="12" t="inlineStr">
        <is>
          <t>Apartamento Kitnet</t>
        </is>
      </c>
      <c r="C22" s="13" t="inlineStr">
        <is>
          <t>Out Smart Living</t>
        </is>
      </c>
      <c r="D22" s="13" t="inlineStr">
        <is>
          <t>Jardim Aclimação</t>
        </is>
      </c>
      <c r="E22" s="12" t="inlineStr">
        <is>
          <t>Maringá - PR</t>
        </is>
      </c>
      <c r="F22" s="13" t="inlineStr">
        <is>
          <t>Av. Senador Petrônio Portela</t>
        </is>
      </c>
      <c r="G22" s="12" t="n"/>
      <c r="H22" s="12" t="n"/>
      <c r="I22" s="12" t="n"/>
      <c r="J22" s="12" t="n"/>
      <c r="K22" s="12" t="n"/>
      <c r="L22" s="12" t="n"/>
      <c r="M22" s="16" t="n">
        <v>639500</v>
      </c>
      <c r="N22" s="12" t="inlineStr"/>
      <c r="O22" s="14">
        <f>HYPERLINK("https://juniorjoda.com.br/imovel/43820000205/","Ver anúncio")</f>
        <v/>
      </c>
    </row>
    <row r="23">
      <c r="A23" s="9" t="inlineStr">
        <is>
          <t>43820000213</t>
        </is>
      </c>
      <c r="B23" s="9" t="inlineStr">
        <is>
          <t>Terreno Comercial</t>
        </is>
      </c>
      <c r="C23" s="10" t="inlineStr"/>
      <c r="D23" s="10" t="inlineStr">
        <is>
          <t>Parque Industrial Alicante</t>
        </is>
      </c>
      <c r="E23" s="9" t="inlineStr">
        <is>
          <t>Londrina - PR</t>
        </is>
      </c>
      <c r="F23" s="10" t="inlineStr">
        <is>
          <t>Rodovia Carlos João Strass</t>
        </is>
      </c>
      <c r="G23" s="9" t="n"/>
      <c r="H23" s="9" t="n"/>
      <c r="I23" s="9" t="n"/>
      <c r="J23" s="9" t="n"/>
      <c r="K23" s="9" t="n"/>
      <c r="L23" s="9" t="n"/>
      <c r="M23" s="15" t="n">
        <v>650000</v>
      </c>
      <c r="N23" s="9" t="inlineStr"/>
      <c r="O23" s="11">
        <f>HYPERLINK("https://juniorjoda.com.br/imovel/43820000213/","Ver anúncio")</f>
        <v/>
      </c>
    </row>
    <row r="24">
      <c r="A24" s="12" t="inlineStr">
        <is>
          <t>43820000158</t>
        </is>
      </c>
      <c r="B24" s="12" t="inlineStr">
        <is>
          <t>Casa</t>
        </is>
      </c>
      <c r="C24" s="13" t="inlineStr"/>
      <c r="D24" s="13" t="inlineStr">
        <is>
          <t>Bom Jardim</t>
        </is>
      </c>
      <c r="E24" s="12" t="inlineStr">
        <is>
          <t>Maringá - PR</t>
        </is>
      </c>
      <c r="F24" s="13" t="inlineStr">
        <is>
          <t>R. Antônio Rigoldi</t>
        </is>
      </c>
      <c r="G24" s="12" t="n">
        <v>136.7</v>
      </c>
      <c r="H24" s="12" t="n"/>
      <c r="I24" s="12" t="n">
        <v>200</v>
      </c>
      <c r="J24" s="12" t="n">
        <v>2</v>
      </c>
      <c r="K24" s="12" t="n">
        <v>1</v>
      </c>
      <c r="L24" s="12" t="n">
        <v>3</v>
      </c>
      <c r="M24" s="16" t="n">
        <v>660000</v>
      </c>
      <c r="N24" s="12" t="inlineStr"/>
      <c r="O24" s="14">
        <f>HYPERLINK("https://juniorjoda.com.br/imovel/43820000158/","Ver anúncio")</f>
        <v/>
      </c>
    </row>
    <row r="25">
      <c r="A25" s="9" t="inlineStr">
        <is>
          <t>43820000216</t>
        </is>
      </c>
      <c r="B25" s="9" t="inlineStr">
        <is>
          <t>Terreno em Condomínio</t>
        </is>
      </c>
      <c r="C25" s="10" t="inlineStr">
        <is>
          <t>Alphaville</t>
        </is>
      </c>
      <c r="D25" s="10" t="inlineStr">
        <is>
          <t>Iguaraçu</t>
        </is>
      </c>
      <c r="E25" s="9" t="inlineStr">
        <is>
          <t>Iguaraçu - PR</t>
        </is>
      </c>
      <c r="F25" s="10" t="inlineStr">
        <is>
          <t>Rodovia PR317 Km 15</t>
        </is>
      </c>
      <c r="G25" s="9" t="n"/>
      <c r="H25" s="9" t="n">
        <v>508.22</v>
      </c>
      <c r="I25" s="9" t="n">
        <v>508.22</v>
      </c>
      <c r="J25" s="9" t="n"/>
      <c r="K25" s="9" t="n"/>
      <c r="L25" s="9" t="n"/>
      <c r="M25" s="15" t="n">
        <v>700000</v>
      </c>
      <c r="N25" s="9" t="inlineStr"/>
      <c r="O25" s="11">
        <f>HYPERLINK("https://juniorjoda.com.br/imovel/43820000216/","Ver anúncio")</f>
        <v/>
      </c>
    </row>
    <row r="26">
      <c r="A26" s="12" t="inlineStr">
        <is>
          <t>43820000042</t>
        </is>
      </c>
      <c r="B26" s="12" t="inlineStr">
        <is>
          <t>Apartamento</t>
        </is>
      </c>
      <c r="C26" s="13" t="inlineStr">
        <is>
          <t>Santa Helena</t>
        </is>
      </c>
      <c r="D26" s="13" t="inlineStr">
        <is>
          <t>Zona 01 Centro</t>
        </is>
      </c>
      <c r="E26" s="12" t="inlineStr">
        <is>
          <t>Maringá - PR</t>
        </is>
      </c>
      <c r="F26" s="13" t="inlineStr">
        <is>
          <t>R. Piratininga</t>
        </is>
      </c>
      <c r="G26" s="12" t="n">
        <v>90</v>
      </c>
      <c r="H26" s="12" t="n"/>
      <c r="I26" s="12" t="n"/>
      <c r="J26" s="12" t="n">
        <v>2</v>
      </c>
      <c r="K26" s="12" t="n">
        <v>1</v>
      </c>
      <c r="L26" s="12" t="n">
        <v>2</v>
      </c>
      <c r="M26" s="16" t="n">
        <v>710000</v>
      </c>
      <c r="N26" s="12" t="inlineStr"/>
      <c r="O26" s="14">
        <f>HYPERLINK("https://juniorjoda.com.br/imovel/43820000042/","Ver anúncio")</f>
        <v/>
      </c>
    </row>
    <row r="27">
      <c r="A27" s="9" t="inlineStr">
        <is>
          <t>43820000183</t>
        </is>
      </c>
      <c r="B27" s="9" t="inlineStr">
        <is>
          <t>Apartamento</t>
        </is>
      </c>
      <c r="C27" s="10" t="inlineStr">
        <is>
          <t>Torre Kadosh</t>
        </is>
      </c>
      <c r="D27" s="10" t="inlineStr">
        <is>
          <t>Loteamento Malbec</t>
        </is>
      </c>
      <c r="E27" s="9" t="inlineStr">
        <is>
          <t>Maringá - PR</t>
        </is>
      </c>
      <c r="F27" s="10" t="inlineStr">
        <is>
          <t>R. Nardina Rodrigues Johansen</t>
        </is>
      </c>
      <c r="G27" s="9" t="n">
        <v>98</v>
      </c>
      <c r="H27" s="9" t="n">
        <v>184</v>
      </c>
      <c r="I27" s="9" t="n"/>
      <c r="J27" s="9" t="n">
        <v>2</v>
      </c>
      <c r="K27" s="9" t="n">
        <v>1</v>
      </c>
      <c r="L27" s="9" t="n">
        <v>2</v>
      </c>
      <c r="M27" s="15" t="n">
        <v>830000</v>
      </c>
      <c r="N27" s="9" t="inlineStr"/>
      <c r="O27" s="11">
        <f>HYPERLINK("https://juniorjoda.com.br/imovel/43820000183/","Ver anúncio")</f>
        <v/>
      </c>
    </row>
    <row r="28">
      <c r="A28" s="12" t="inlineStr">
        <is>
          <t>43820000005</t>
        </is>
      </c>
      <c r="B28" s="12" t="inlineStr">
        <is>
          <t>Terreno Comercial</t>
        </is>
      </c>
      <c r="C28" s="13" t="inlineStr"/>
      <c r="D28" s="13" t="inlineStr">
        <is>
          <t>Jardim Universo</t>
        </is>
      </c>
      <c r="E28" s="12" t="inlineStr">
        <is>
          <t>Maringá - PR</t>
        </is>
      </c>
      <c r="F28" s="13" t="inlineStr">
        <is>
          <t>Av. Joaquim Duarte Moleirinho</t>
        </is>
      </c>
      <c r="G28" s="12" t="n"/>
      <c r="H28" s="12" t="n">
        <v>804</v>
      </c>
      <c r="I28" s="12" t="n">
        <v>804</v>
      </c>
      <c r="J28" s="12" t="n"/>
      <c r="K28" s="12" t="n"/>
      <c r="L28" s="12" t="n"/>
      <c r="M28" s="16" t="n">
        <v>850000</v>
      </c>
      <c r="N28" s="12" t="inlineStr"/>
      <c r="O28" s="14">
        <f>HYPERLINK("https://juniorjoda.com.br/imovel/43820000005/","Ver anúncio")</f>
        <v/>
      </c>
    </row>
    <row r="29">
      <c r="A29" s="9" t="inlineStr">
        <is>
          <t>43820000072</t>
        </is>
      </c>
      <c r="B29" s="9" t="inlineStr">
        <is>
          <t>Apartamento</t>
        </is>
      </c>
      <c r="C29" s="10" t="inlineStr">
        <is>
          <t>Maison Florence</t>
        </is>
      </c>
      <c r="D29" s="10" t="inlineStr">
        <is>
          <t>Zona 03</t>
        </is>
      </c>
      <c r="E29" s="9" t="inlineStr">
        <is>
          <t>Maringá - PR</t>
        </is>
      </c>
      <c r="F29" s="10" t="inlineStr">
        <is>
          <t>R. Neo Alves Martins</t>
        </is>
      </c>
      <c r="G29" s="9" t="n">
        <v>78.53</v>
      </c>
      <c r="H29" s="9" t="n">
        <v>160.04</v>
      </c>
      <c r="I29" s="9" t="n"/>
      <c r="J29" s="9" t="n">
        <v>2</v>
      </c>
      <c r="K29" s="9" t="n">
        <v>1</v>
      </c>
      <c r="L29" s="9" t="n">
        <v>2</v>
      </c>
      <c r="M29" s="15" t="n">
        <v>850000</v>
      </c>
      <c r="N29" s="9" t="inlineStr"/>
      <c r="O29" s="11">
        <f>HYPERLINK("https://juniorjoda.com.br/imovel/43820000072/","Ver anúncio")</f>
        <v/>
      </c>
    </row>
    <row r="30">
      <c r="A30" s="12" t="inlineStr">
        <is>
          <t>43820000106</t>
        </is>
      </c>
      <c r="B30" s="12" t="inlineStr">
        <is>
          <t>Apartamento</t>
        </is>
      </c>
      <c r="C30" s="13" t="inlineStr">
        <is>
          <t>Monte Sinai</t>
        </is>
      </c>
      <c r="D30" s="13" t="inlineStr">
        <is>
          <t>Zona 01 Centro</t>
        </is>
      </c>
      <c r="E30" s="12" t="inlineStr">
        <is>
          <t>Maringá - PR</t>
        </is>
      </c>
      <c r="F30" s="13" t="inlineStr">
        <is>
          <t>Av. João Paulino Vieira Filho</t>
        </is>
      </c>
      <c r="G30" s="12" t="n">
        <v>104.45</v>
      </c>
      <c r="H30" s="12" t="n">
        <v>201.77</v>
      </c>
      <c r="I30" s="12" t="n"/>
      <c r="J30" s="12" t="n">
        <v>2</v>
      </c>
      <c r="K30" s="12" t="n">
        <v>1</v>
      </c>
      <c r="L30" s="12" t="n">
        <v>2</v>
      </c>
      <c r="M30" s="16" t="n">
        <v>850000</v>
      </c>
      <c r="N30" s="12" t="inlineStr"/>
      <c r="O30" s="14">
        <f>HYPERLINK("https://juniorjoda.com.br/imovel/43820000106/","Ver anúncio")</f>
        <v/>
      </c>
    </row>
    <row r="31">
      <c r="A31" s="9" t="inlineStr">
        <is>
          <t>43820000088</t>
        </is>
      </c>
      <c r="B31" s="9" t="inlineStr">
        <is>
          <t>Apartamento</t>
        </is>
      </c>
      <c r="C31" s="10" t="inlineStr">
        <is>
          <t>Maison Florence</t>
        </is>
      </c>
      <c r="D31" s="10" t="inlineStr">
        <is>
          <t>Zona 03</t>
        </is>
      </c>
      <c r="E31" s="9" t="inlineStr">
        <is>
          <t>Maringá - PR</t>
        </is>
      </c>
      <c r="F31" s="10" t="inlineStr">
        <is>
          <t>R. Neo Alves Martins</t>
        </is>
      </c>
      <c r="G31" s="9" t="n">
        <v>78.53</v>
      </c>
      <c r="H31" s="9" t="n">
        <v>160.04</v>
      </c>
      <c r="I31" s="9" t="n"/>
      <c r="J31" s="9" t="n">
        <v>2</v>
      </c>
      <c r="K31" s="9" t="n">
        <v>1</v>
      </c>
      <c r="L31" s="9" t="n">
        <v>2</v>
      </c>
      <c r="M31" s="15" t="n">
        <v>890000</v>
      </c>
      <c r="N31" s="9" t="inlineStr"/>
      <c r="O31" s="11">
        <f>HYPERLINK("https://juniorjoda.com.br/imovel/43820000088/","Ver anúncio")</f>
        <v/>
      </c>
    </row>
    <row r="32">
      <c r="A32" s="12" t="inlineStr">
        <is>
          <t>43820000187</t>
        </is>
      </c>
      <c r="B32" s="12" t="inlineStr">
        <is>
          <t>Sobrado</t>
        </is>
      </c>
      <c r="C32" s="13" t="inlineStr"/>
      <c r="D32" s="13" t="inlineStr">
        <is>
          <t>Jardim Higienópolis</t>
        </is>
      </c>
      <c r="E32" s="12" t="inlineStr">
        <is>
          <t>Maringá - PR</t>
        </is>
      </c>
      <c r="F32" s="13" t="inlineStr">
        <is>
          <t>R. Rosacruz</t>
        </is>
      </c>
      <c r="G32" s="12" t="n">
        <v>145.73</v>
      </c>
      <c r="H32" s="12" t="n"/>
      <c r="I32" s="12" t="n">
        <v>150</v>
      </c>
      <c r="J32" s="12" t="n">
        <v>2</v>
      </c>
      <c r="K32" s="12" t="n">
        <v>1</v>
      </c>
      <c r="L32" s="12" t="n">
        <v>2</v>
      </c>
      <c r="M32" s="16" t="n">
        <v>930000</v>
      </c>
      <c r="N32" s="12" t="inlineStr"/>
      <c r="O32" s="14">
        <f>HYPERLINK("https://juniorjoda.com.br/imovel/43820000187/","Ver anúncio")</f>
        <v/>
      </c>
    </row>
    <row r="33">
      <c r="A33" s="9" t="inlineStr">
        <is>
          <t>43820000211</t>
        </is>
      </c>
      <c r="B33" s="9" t="inlineStr">
        <is>
          <t>Apartamento</t>
        </is>
      </c>
      <c r="C33" s="10" t="inlineStr">
        <is>
          <t>Torre de Elohim</t>
        </is>
      </c>
      <c r="D33" s="10" t="inlineStr">
        <is>
          <t>Jardim Aclimação</t>
        </is>
      </c>
      <c r="E33" s="9" t="inlineStr">
        <is>
          <t>Maringá - PR</t>
        </is>
      </c>
      <c r="F33" s="10" t="inlineStr">
        <is>
          <t>Av. Dr. Gastão Vidigal</t>
        </is>
      </c>
      <c r="G33" s="9" t="n">
        <v>106</v>
      </c>
      <c r="H33" s="9" t="n"/>
      <c r="I33" s="9" t="n"/>
      <c r="J33" s="9" t="n">
        <v>2</v>
      </c>
      <c r="K33" s="9" t="n">
        <v>1</v>
      </c>
      <c r="L33" s="9" t="n">
        <v>2</v>
      </c>
      <c r="M33" s="15" t="n">
        <v>940000</v>
      </c>
      <c r="N33" s="9" t="inlineStr"/>
      <c r="O33" s="11">
        <f>HYPERLINK("https://juniorjoda.com.br/imovel/43820000211/","Ver anúncio")</f>
        <v/>
      </c>
    </row>
    <row r="34">
      <c r="A34" s="12" t="inlineStr">
        <is>
          <t>43820000206</t>
        </is>
      </c>
      <c r="B34" s="12" t="inlineStr">
        <is>
          <t>Apartamento</t>
        </is>
      </c>
      <c r="C34" s="13" t="inlineStr">
        <is>
          <t>Square</t>
        </is>
      </c>
      <c r="D34" s="13" t="inlineStr">
        <is>
          <t>Zona 07</t>
        </is>
      </c>
      <c r="E34" s="12" t="inlineStr">
        <is>
          <t>Maringá - PR</t>
        </is>
      </c>
      <c r="F34" s="13" t="inlineStr">
        <is>
          <t>R. Marechal Deodoro</t>
        </is>
      </c>
      <c r="G34" s="12" t="n">
        <v>1.03</v>
      </c>
      <c r="H34" s="12" t="n"/>
      <c r="I34" s="12" t="n"/>
      <c r="J34" s="12" t="n"/>
      <c r="K34" s="12" t="n"/>
      <c r="L34" s="12" t="n"/>
      <c r="M34" s="16" t="n">
        <v>1296080</v>
      </c>
      <c r="N34" s="12" t="inlineStr"/>
      <c r="O34" s="14">
        <f>HYPERLINK("https://juniorjoda.com.br/imovel/43820000206/","Ver anúncio")</f>
        <v/>
      </c>
    </row>
    <row r="35">
      <c r="A35" s="9" t="inlineStr">
        <is>
          <t>43820000214</t>
        </is>
      </c>
      <c r="B35" s="9" t="inlineStr">
        <is>
          <t>Apartamento</t>
        </is>
      </c>
      <c r="C35" s="10" t="inlineStr">
        <is>
          <t>Porto Virmond</t>
        </is>
      </c>
      <c r="D35" s="10" t="inlineStr">
        <is>
          <t>Zona 01 Centro</t>
        </is>
      </c>
      <c r="E35" s="9" t="inlineStr">
        <is>
          <t>Maringá - PR</t>
        </is>
      </c>
      <c r="F35" s="10" t="inlineStr">
        <is>
          <t>R. Piratininga</t>
        </is>
      </c>
      <c r="G35" s="9" t="n">
        <v>240</v>
      </c>
      <c r="H35" s="9" t="n"/>
      <c r="I35" s="9" t="n"/>
      <c r="J35" s="9" t="n">
        <v>3</v>
      </c>
      <c r="K35" s="9" t="n">
        <v>2</v>
      </c>
      <c r="L35" s="9" t="n">
        <v>2</v>
      </c>
      <c r="M35" s="15" t="n">
        <v>1300000</v>
      </c>
      <c r="N35" s="9" t="inlineStr"/>
      <c r="O35" s="11">
        <f>HYPERLINK("https://juniorjoda.com.br/imovel/43820000214/","Ver anúncio")</f>
        <v/>
      </c>
    </row>
    <row r="36">
      <c r="A36" s="12" t="inlineStr">
        <is>
          <t>43820000181</t>
        </is>
      </c>
      <c r="B36" s="12" t="inlineStr">
        <is>
          <t>Casa em Condomínio</t>
        </is>
      </c>
      <c r="C36" s="13" t="inlineStr">
        <is>
          <t>Pousada do Paranapanema</t>
        </is>
      </c>
      <c r="D36" s="13" t="inlineStr">
        <is>
          <t>Gleba Zacarias de Goes</t>
        </is>
      </c>
      <c r="E36" s="12" t="inlineStr">
        <is>
          <t>Santo Inácio - PR</t>
        </is>
      </c>
      <c r="F36" s="13" t="inlineStr">
        <is>
          <t>Av. Paranapanema</t>
        </is>
      </c>
      <c r="G36" s="12" t="n">
        <v>460</v>
      </c>
      <c r="H36" s="12" t="n"/>
      <c r="I36" s="12" t="n">
        <v>961.16</v>
      </c>
      <c r="J36" s="12" t="n">
        <v>2</v>
      </c>
      <c r="K36" s="12" t="n">
        <v>1</v>
      </c>
      <c r="L36" s="12" t="n">
        <v>4</v>
      </c>
      <c r="M36" s="16" t="n">
        <v>1350000</v>
      </c>
      <c r="N36" s="12" t="inlineStr"/>
      <c r="O36" s="14">
        <f>HYPERLINK("https://juniorjoda.com.br/imovel/43820000181/","Ver anúncio")</f>
        <v/>
      </c>
    </row>
    <row r="37">
      <c r="A37" s="9" t="inlineStr">
        <is>
          <t>43820000190</t>
        </is>
      </c>
      <c r="B37" s="9" t="inlineStr">
        <is>
          <t>Apartamento</t>
        </is>
      </c>
      <c r="C37" s="10" t="inlineStr">
        <is>
          <t>Villagio di Italia</t>
        </is>
      </c>
      <c r="D37" s="10" t="inlineStr">
        <is>
          <t>Zona 01 Centro</t>
        </is>
      </c>
      <c r="E37" s="9" t="inlineStr">
        <is>
          <t>Maringá - PR</t>
        </is>
      </c>
      <c r="F37" s="10" t="inlineStr">
        <is>
          <t>Av. Mauá</t>
        </is>
      </c>
      <c r="G37" s="9" t="n">
        <v>104.76</v>
      </c>
      <c r="H37" s="9" t="n">
        <v>199.76</v>
      </c>
      <c r="I37" s="9" t="n"/>
      <c r="J37" s="9" t="n">
        <v>1</v>
      </c>
      <c r="K37" s="9" t="n">
        <v>1</v>
      </c>
      <c r="L37" s="9" t="n">
        <v>2</v>
      </c>
      <c r="M37" s="15" t="n">
        <v>1400000</v>
      </c>
      <c r="N37" s="9" t="inlineStr"/>
      <c r="O37" s="11">
        <f>HYPERLINK("https://juniorjoda.com.br/imovel/43820000190/","Ver anúncio")</f>
        <v/>
      </c>
    </row>
    <row r="38">
      <c r="A38" s="12" t="inlineStr">
        <is>
          <t>43820000180</t>
        </is>
      </c>
      <c r="B38" s="12" t="inlineStr">
        <is>
          <t>Casa em Condomínio</t>
        </is>
      </c>
      <c r="C38" s="13" t="inlineStr">
        <is>
          <t>Horizontal Paço Darcos</t>
        </is>
      </c>
      <c r="D38" s="13" t="inlineStr">
        <is>
          <t>Zona 08</t>
        </is>
      </c>
      <c r="E38" s="12" t="inlineStr">
        <is>
          <t>Maringá - PR</t>
        </is>
      </c>
      <c r="F38" s="13" t="inlineStr">
        <is>
          <t>Av. Londrina</t>
        </is>
      </c>
      <c r="G38" s="12" t="n">
        <v>216.37</v>
      </c>
      <c r="H38" s="12" t="n"/>
      <c r="I38" s="12" t="n">
        <v>218.5</v>
      </c>
      <c r="J38" s="12" t="n">
        <v>1</v>
      </c>
      <c r="K38" s="12" t="n">
        <v>3</v>
      </c>
      <c r="L38" s="12" t="n">
        <v>4</v>
      </c>
      <c r="M38" s="16" t="n">
        <v>1480000</v>
      </c>
      <c r="N38" s="12" t="inlineStr"/>
      <c r="O38" s="14">
        <f>HYPERLINK("https://juniorjoda.com.br/imovel/43820000180/","Ver anúncio")</f>
        <v/>
      </c>
    </row>
    <row r="39">
      <c r="A39" s="9" t="inlineStr">
        <is>
          <t>43820000207</t>
        </is>
      </c>
      <c r="B39" s="9" t="inlineStr">
        <is>
          <t>Apartamento</t>
        </is>
      </c>
      <c r="C39" s="10" t="inlineStr">
        <is>
          <t>Paseo</t>
        </is>
      </c>
      <c r="D39" s="10" t="inlineStr">
        <is>
          <t>Zona 03</t>
        </is>
      </c>
      <c r="E39" s="9" t="inlineStr">
        <is>
          <t>Maringá - PR</t>
        </is>
      </c>
      <c r="F39" s="10" t="inlineStr">
        <is>
          <t>R. Henrique Dias</t>
        </is>
      </c>
      <c r="G39" s="9" t="n">
        <v>218</v>
      </c>
      <c r="H39" s="9" t="n"/>
      <c r="I39" s="9" t="n"/>
      <c r="J39" s="9" t="n"/>
      <c r="K39" s="9" t="n"/>
      <c r="L39" s="9" t="n"/>
      <c r="M39" s="15" t="n">
        <v>2876050</v>
      </c>
      <c r="N39" s="9" t="inlineStr"/>
      <c r="O39" s="11">
        <f>HYPERLINK("https://juniorjoda.com.br/imovel/43820000207/","Ver anúncio")</f>
        <v/>
      </c>
    </row>
    <row r="40">
      <c r="A40" s="12" t="inlineStr">
        <is>
          <t>43820000212</t>
        </is>
      </c>
      <c r="B40" s="12" t="inlineStr">
        <is>
          <t>Terreno Comercial</t>
        </is>
      </c>
      <c r="C40" s="13" t="inlineStr"/>
      <c r="D40" s="13" t="inlineStr">
        <is>
          <t>Gleba Ribeirão Pinguim</t>
        </is>
      </c>
      <c r="E40" s="12" t="inlineStr">
        <is>
          <t>Maringá - PR</t>
        </is>
      </c>
      <c r="F40" s="13" t="inlineStr">
        <is>
          <t>Rodovia PR317</t>
        </is>
      </c>
      <c r="G40" s="12" t="n"/>
      <c r="H40" s="12" t="n">
        <v>40849.64</v>
      </c>
      <c r="I40" s="12" t="n">
        <v>40849.64</v>
      </c>
      <c r="J40" s="12" t="n"/>
      <c r="K40" s="12" t="n"/>
      <c r="L40" s="12" t="n"/>
      <c r="M40" s="16" t="n">
        <v>4000000</v>
      </c>
      <c r="N40" s="12" t="inlineStr"/>
      <c r="O40" s="14">
        <f>HYPERLINK("https://juniorjoda.com.br/imovel/43820000212/","Ver anúncio")</f>
        <v/>
      </c>
    </row>
  </sheetData>
  <autoFilter ref="A2:O2"/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6" customWidth="1" min="3" max="3"/>
    <col width="24" customWidth="1" min="4" max="4"/>
    <col width="18" customWidth="1" min="5" max="5"/>
    <col width="36" customWidth="1" min="6" max="6"/>
    <col width="14" customWidth="1" min="7" max="7"/>
    <col width="14" customWidth="1" min="8" max="8"/>
    <col width="14" customWidth="1" min="9" max="9"/>
    <col width="8" customWidth="1" min="10" max="10"/>
    <col width="8" customWidth="1" min="11" max="11"/>
    <col width="8" customWidth="1" min="12" max="12"/>
    <col width="18" customWidth="1" min="13" max="13"/>
    <col width="14" customWidth="1" min="14" max="14"/>
    <col width="55" customWidth="1" min="15" max="15"/>
  </cols>
  <sheetData>
    <row r="1" ht="28" customHeight="1">
      <c r="A1" s="17" t="inlineStr">
        <is>
          <t>🏠 Junior Joda Soluções Imobiliárias — Imóveis para Locação  |  Extraído em 28/06/2026</t>
        </is>
      </c>
    </row>
    <row r="2" ht="22" customHeight="1">
      <c r="A2" s="18" t="inlineStr">
        <is>
          <t>Ref.</t>
        </is>
      </c>
      <c r="B2" s="18" t="inlineStr">
        <is>
          <t>Tipo</t>
        </is>
      </c>
      <c r="C2" s="18" t="inlineStr">
        <is>
          <t>Empreendimento</t>
        </is>
      </c>
      <c r="D2" s="18" t="inlineStr">
        <is>
          <t>Bairro / Localização</t>
        </is>
      </c>
      <c r="E2" s="18" t="inlineStr">
        <is>
          <t>Cidade</t>
        </is>
      </c>
      <c r="F2" s="18" t="inlineStr">
        <is>
          <t>Endereço</t>
        </is>
      </c>
      <c r="G2" s="18" t="inlineStr">
        <is>
          <t>Área Priv. (m²)</t>
        </is>
      </c>
      <c r="H2" s="18" t="inlineStr">
        <is>
          <t>Área Total (m²)</t>
        </is>
      </c>
      <c r="I2" s="18" t="inlineStr">
        <is>
          <t>Área Terreno (m²)</t>
        </is>
      </c>
      <c r="J2" s="18" t="inlineStr">
        <is>
          <t>Quartos</t>
        </is>
      </c>
      <c r="K2" s="18" t="inlineStr">
        <is>
          <t>Suítes</t>
        </is>
      </c>
      <c r="L2" s="18" t="inlineStr">
        <is>
          <t>Vagas</t>
        </is>
      </c>
      <c r="M2" s="18" t="inlineStr">
        <is>
          <t>Preço (R$)</t>
        </is>
      </c>
      <c r="N2" s="18" t="inlineStr">
        <is>
          <t>Obs.</t>
        </is>
      </c>
      <c r="O2" s="18" t="inlineStr">
        <is>
          <t>Link</t>
        </is>
      </c>
    </row>
    <row r="3">
      <c r="A3" s="9" t="inlineStr">
        <is>
          <t>43820000194</t>
        </is>
      </c>
      <c r="B3" s="9" t="inlineStr">
        <is>
          <t>Sala Comercial em Edifício</t>
        </is>
      </c>
      <c r="C3" s="10" t="inlineStr"/>
      <c r="D3" s="10" t="inlineStr">
        <is>
          <t>Zona 04</t>
        </is>
      </c>
      <c r="E3" s="9" t="inlineStr">
        <is>
          <t>Maringá - PR</t>
        </is>
      </c>
      <c r="F3" s="10" t="inlineStr">
        <is>
          <t>R. Princesa Isabel</t>
        </is>
      </c>
      <c r="G3" s="9" t="n"/>
      <c r="H3" s="9" t="n"/>
      <c r="I3" s="9" t="n"/>
      <c r="J3" s="9" t="n"/>
      <c r="K3" s="9" t="n"/>
      <c r="L3" s="9" t="n"/>
      <c r="M3" s="9" t="inlineStr">
        <is>
          <t>Consulte</t>
        </is>
      </c>
      <c r="N3" s="9" t="inlineStr"/>
      <c r="O3" s="11">
        <f>HYPERLINK("https://juniorjoda.com.br/imovel/43820000194/","Ver anúncio")</f>
        <v/>
      </c>
    </row>
    <row r="4">
      <c r="A4" s="12" t="inlineStr">
        <is>
          <t>43820000197</t>
        </is>
      </c>
      <c r="B4" s="12" t="inlineStr">
        <is>
          <t>Sala Comercial</t>
        </is>
      </c>
      <c r="C4" s="13" t="inlineStr">
        <is>
          <t>Phenom Parque Empresarial</t>
        </is>
      </c>
      <c r="D4" s="13" t="inlineStr">
        <is>
          <t>Zona Armazém</t>
        </is>
      </c>
      <c r="E4" s="12" t="inlineStr">
        <is>
          <t>Maringá - PR</t>
        </is>
      </c>
      <c r="F4" s="13" t="inlineStr">
        <is>
          <t>Av. Carneiro Leão</t>
        </is>
      </c>
      <c r="G4" s="12" t="n">
        <v>109.65</v>
      </c>
      <c r="H4" s="12" t="n"/>
      <c r="I4" s="12" t="n"/>
      <c r="J4" s="12" t="n"/>
      <c r="K4" s="12" t="n"/>
      <c r="L4" s="12" t="n">
        <v>1</v>
      </c>
      <c r="M4" s="12" t="inlineStr">
        <is>
          <t>Consulte</t>
        </is>
      </c>
      <c r="N4" s="12" t="inlineStr"/>
      <c r="O4" s="14">
        <f>HYPERLINK("https://juniorjoda.com.br/imovel/43820000197/","Ver anúncio")</f>
        <v/>
      </c>
    </row>
    <row r="5">
      <c r="A5" s="9" t="inlineStr">
        <is>
          <t>43820000163</t>
        </is>
      </c>
      <c r="B5" s="9" t="inlineStr">
        <is>
          <t>Sala Comercial</t>
        </is>
      </c>
      <c r="C5" s="10" t="inlineStr"/>
      <c r="D5" s="10" t="inlineStr">
        <is>
          <t>Vila Morangueira</t>
        </is>
      </c>
      <c r="E5" s="9" t="inlineStr">
        <is>
          <t>Maringá - PR</t>
        </is>
      </c>
      <c r="F5" s="10" t="inlineStr">
        <is>
          <t>R. La Paz</t>
        </is>
      </c>
      <c r="G5" s="9" t="n">
        <v>35</v>
      </c>
      <c r="H5" s="9" t="n"/>
      <c r="I5" s="9" t="n"/>
      <c r="J5" s="9" t="n"/>
      <c r="K5" s="9" t="n"/>
      <c r="L5" s="9" t="n"/>
      <c r="M5" s="15" t="n">
        <v>1100</v>
      </c>
      <c r="N5" s="9" t="inlineStr"/>
      <c r="O5" s="11">
        <f>HYPERLINK("https://juniorjoda.com.br/imovel/43820000163/","Ver anúncio")</f>
        <v/>
      </c>
    </row>
    <row r="6">
      <c r="A6" s="12" t="inlineStr">
        <is>
          <t>43820000117</t>
        </is>
      </c>
      <c r="B6" s="12" t="inlineStr">
        <is>
          <t>Apartamento</t>
        </is>
      </c>
      <c r="C6" s="13" t="inlineStr">
        <is>
          <t>Residencial Vitória Regia</t>
        </is>
      </c>
      <c r="D6" s="13" t="inlineStr">
        <is>
          <t>Parque Res Aeroporto</t>
        </is>
      </c>
      <c r="E6" s="12" t="inlineStr">
        <is>
          <t>Maringá - PR</t>
        </is>
      </c>
      <c r="F6" s="13" t="inlineStr">
        <is>
          <t>R. Mário José de Faria Ferraz</t>
        </is>
      </c>
      <c r="G6" s="12" t="n">
        <v>62.85</v>
      </c>
      <c r="H6" s="12" t="n">
        <v>87.75</v>
      </c>
      <c r="I6" s="12" t="n"/>
      <c r="J6" s="12" t="n">
        <v>1</v>
      </c>
      <c r="K6" s="12" t="n">
        <v>1</v>
      </c>
      <c r="L6" s="12" t="n">
        <v>1</v>
      </c>
      <c r="M6" s="16" t="n">
        <v>1300</v>
      </c>
      <c r="N6" s="12" t="inlineStr"/>
      <c r="O6" s="14">
        <f>HYPERLINK("https://juniorjoda.com.br/imovel/43820000117/","Ver anúncio")</f>
        <v/>
      </c>
    </row>
    <row r="7">
      <c r="A7" s="9" t="inlineStr">
        <is>
          <t>43820000136</t>
        </is>
      </c>
      <c r="B7" s="9" t="inlineStr">
        <is>
          <t>Apartamento</t>
        </is>
      </c>
      <c r="C7" s="10" t="inlineStr">
        <is>
          <t>Residencial Vitória Regia</t>
        </is>
      </c>
      <c r="D7" s="10" t="inlineStr">
        <is>
          <t>Parque Res Aeroporto</t>
        </is>
      </c>
      <c r="E7" s="9" t="inlineStr">
        <is>
          <t>Maringá - PR</t>
        </is>
      </c>
      <c r="F7" s="10" t="inlineStr">
        <is>
          <t>R. Mário José de Faria Ferraz</t>
        </is>
      </c>
      <c r="G7" s="9" t="n">
        <v>62.85</v>
      </c>
      <c r="H7" s="9" t="n">
        <v>87.75</v>
      </c>
      <c r="I7" s="9" t="n"/>
      <c r="J7" s="9" t="n">
        <v>1</v>
      </c>
      <c r="K7" s="9" t="n">
        <v>1</v>
      </c>
      <c r="L7" s="9" t="n">
        <v>1</v>
      </c>
      <c r="M7" s="15" t="n">
        <v>1300</v>
      </c>
      <c r="N7" s="9" t="inlineStr"/>
      <c r="O7" s="11">
        <f>HYPERLINK("https://juniorjoda.com.br/imovel/43820000136/","Ver anúncio")</f>
        <v/>
      </c>
    </row>
    <row r="8">
      <c r="A8" s="12" t="inlineStr">
        <is>
          <t>43820000120</t>
        </is>
      </c>
      <c r="B8" s="12" t="inlineStr">
        <is>
          <t>Sala Comercial</t>
        </is>
      </c>
      <c r="C8" s="13" t="inlineStr">
        <is>
          <t>Sala Comercial Solar da Rosa</t>
        </is>
      </c>
      <c r="D8" s="13" t="inlineStr">
        <is>
          <t>Zona 06</t>
        </is>
      </c>
      <c r="E8" s="12" t="inlineStr">
        <is>
          <t>Maringá - PR</t>
        </is>
      </c>
      <c r="F8" s="13" t="inlineStr">
        <is>
          <t>R. João Vercesi</t>
        </is>
      </c>
      <c r="G8" s="12" t="n">
        <v>42</v>
      </c>
      <c r="H8" s="12" t="n">
        <v>59.55</v>
      </c>
      <c r="I8" s="12" t="n"/>
      <c r="J8" s="12" t="n"/>
      <c r="K8" s="12" t="n"/>
      <c r="L8" s="12" t="n"/>
      <c r="M8" s="16" t="n">
        <v>1350</v>
      </c>
      <c r="N8" s="12" t="inlineStr"/>
      <c r="O8" s="14">
        <f>HYPERLINK("https://juniorjoda.com.br/imovel/43820000120/","Ver anúncio")</f>
        <v/>
      </c>
    </row>
    <row r="9">
      <c r="A9" s="9" t="inlineStr">
        <is>
          <t>43820000209</t>
        </is>
      </c>
      <c r="B9" s="9" t="inlineStr">
        <is>
          <t>Apartamento</t>
        </is>
      </c>
      <c r="C9" s="10" t="inlineStr"/>
      <c r="D9" s="10" t="inlineStr">
        <is>
          <t>Jardim Alvorada</t>
        </is>
      </c>
      <c r="E9" s="9" t="inlineStr">
        <is>
          <t>Maringá - PR</t>
        </is>
      </c>
      <c r="F9" s="10" t="inlineStr">
        <is>
          <t>Av. Dona Sophia Rasgulaeff</t>
        </is>
      </c>
      <c r="G9" s="9" t="n">
        <v>79.59</v>
      </c>
      <c r="H9" s="9" t="n">
        <v>79.59</v>
      </c>
      <c r="I9" s="9" t="n"/>
      <c r="J9" s="9" t="n">
        <v>2</v>
      </c>
      <c r="K9" s="9" t="n"/>
      <c r="L9" s="9" t="n">
        <v>1</v>
      </c>
      <c r="M9" s="15" t="n">
        <v>1650</v>
      </c>
      <c r="N9" s="9" t="inlineStr"/>
      <c r="O9" s="11">
        <f>HYPERLINK("https://juniorjoda.com.br/imovel/43820000209/","Ver anúncio")</f>
        <v/>
      </c>
    </row>
    <row r="10">
      <c r="A10" s="12" t="inlineStr">
        <is>
          <t>43820000201</t>
        </is>
      </c>
      <c r="B10" s="12" t="inlineStr">
        <is>
          <t>Apartamento</t>
        </is>
      </c>
      <c r="C10" s="13" t="inlineStr">
        <is>
          <t>Portal de Elyon</t>
        </is>
      </c>
      <c r="D10" s="13" t="inlineStr">
        <is>
          <t>Jardim Aclimação</t>
        </is>
      </c>
      <c r="E10" s="12" t="inlineStr">
        <is>
          <t>Maringá - PR</t>
        </is>
      </c>
      <c r="F10" s="13" t="inlineStr">
        <is>
          <t>Av. Dr. Gastão Vidigal</t>
        </is>
      </c>
      <c r="G10" s="12" t="n">
        <v>84</v>
      </c>
      <c r="H10" s="12" t="n">
        <v>111.58</v>
      </c>
      <c r="I10" s="12" t="n"/>
      <c r="J10" s="12" t="n">
        <v>2</v>
      </c>
      <c r="K10" s="12" t="n">
        <v>1</v>
      </c>
      <c r="L10" s="12" t="n">
        <v>1</v>
      </c>
      <c r="M10" s="16" t="n">
        <v>2490</v>
      </c>
      <c r="N10" s="12" t="inlineStr"/>
      <c r="O10" s="14">
        <f>HYPERLINK("https://juniorjoda.com.br/imovel/43820000201/","Ver anúncio")</f>
        <v/>
      </c>
    </row>
    <row r="11">
      <c r="A11" s="9" t="inlineStr">
        <is>
          <t>43820000224</t>
        </is>
      </c>
      <c r="B11" s="9" t="inlineStr">
        <is>
          <t>Casa</t>
        </is>
      </c>
      <c r="C11" s="10" t="inlineStr"/>
      <c r="D11" s="10" t="inlineStr">
        <is>
          <t>Jardim Real</t>
        </is>
      </c>
      <c r="E11" s="9" t="inlineStr">
        <is>
          <t>Maringá - PR</t>
        </is>
      </c>
      <c r="F11" s="10" t="inlineStr">
        <is>
          <t>R. Rubi</t>
        </is>
      </c>
      <c r="G11" s="9" t="n"/>
      <c r="H11" s="9" t="n">
        <v>106.78</v>
      </c>
      <c r="I11" s="9" t="n">
        <v>153</v>
      </c>
      <c r="J11" s="9" t="n">
        <v>2</v>
      </c>
      <c r="K11" s="9" t="n">
        <v>1</v>
      </c>
      <c r="L11" s="9" t="n">
        <v>2</v>
      </c>
      <c r="M11" s="15" t="n">
        <v>2500</v>
      </c>
      <c r="N11" s="9" t="inlineStr"/>
      <c r="O11" s="11">
        <f>HYPERLINK("https://juniorjoda.com.br/imovel/43820000224/","Ver anúncio")</f>
        <v/>
      </c>
    </row>
    <row r="12">
      <c r="A12" s="12" t="inlineStr">
        <is>
          <t>43820000186</t>
        </is>
      </c>
      <c r="B12" s="12" t="inlineStr">
        <is>
          <t>Barracão</t>
        </is>
      </c>
      <c r="C12" s="13" t="inlineStr"/>
      <c r="D12" s="13" t="inlineStr">
        <is>
          <t>Jardim Aurora</t>
        </is>
      </c>
      <c r="E12" s="12" t="inlineStr">
        <is>
          <t>Maringá - PR</t>
        </is>
      </c>
      <c r="F12" s="13" t="inlineStr">
        <is>
          <t>R. Marcello Emerson Franchini</t>
        </is>
      </c>
      <c r="G12" s="12" t="n">
        <v>250</v>
      </c>
      <c r="H12" s="12" t="n">
        <v>250</v>
      </c>
      <c r="I12" s="12" t="n">
        <v>490</v>
      </c>
      <c r="J12" s="12" t="n"/>
      <c r="K12" s="12" t="n"/>
      <c r="L12" s="12" t="n"/>
      <c r="M12" s="16" t="n">
        <v>3400</v>
      </c>
      <c r="N12" s="12" t="inlineStr"/>
      <c r="O12" s="14">
        <f>HYPERLINK("https://juniorjoda.com.br/imovel/43820000186/","Ver anúncio")</f>
        <v/>
      </c>
    </row>
    <row r="13">
      <c r="A13" s="9" t="inlineStr">
        <is>
          <t>43820000217</t>
        </is>
      </c>
      <c r="B13" s="9" t="inlineStr">
        <is>
          <t>Apartamento Duplex</t>
        </is>
      </c>
      <c r="C13" s="10" t="inlineStr">
        <is>
          <t>Salgueiro</t>
        </is>
      </c>
      <c r="D13" s="10" t="inlineStr">
        <is>
          <t>Zona 03</t>
        </is>
      </c>
      <c r="E13" s="9" t="inlineStr">
        <is>
          <t>Maringá - PR</t>
        </is>
      </c>
      <c r="F13" s="10" t="inlineStr">
        <is>
          <t>R. Marcílio Dias</t>
        </is>
      </c>
      <c r="G13" s="9" t="n">
        <v>93.81999999999999</v>
      </c>
      <c r="H13" s="9" t="n">
        <v>149.68</v>
      </c>
      <c r="I13" s="9" t="n"/>
      <c r="J13" s="9" t="n">
        <v>3</v>
      </c>
      <c r="K13" s="9" t="n"/>
      <c r="L13" s="9" t="n">
        <v>1</v>
      </c>
      <c r="M13" s="15" t="n">
        <v>3500</v>
      </c>
      <c r="N13" s="9" t="inlineStr"/>
      <c r="O13" s="11">
        <f>HYPERLINK("https://juniorjoda.com.br/imovel/43820000217/","Ver anúncio")</f>
        <v/>
      </c>
    </row>
    <row r="14">
      <c r="A14" s="12" t="inlineStr">
        <is>
          <t>43820000189</t>
        </is>
      </c>
      <c r="B14" s="12" t="inlineStr">
        <is>
          <t>Salão Comercial</t>
        </is>
      </c>
      <c r="C14" s="13" t="inlineStr"/>
      <c r="D14" s="13" t="inlineStr">
        <is>
          <t>Jardim Itaipu</t>
        </is>
      </c>
      <c r="E14" s="12" t="inlineStr">
        <is>
          <t>Maringá - PR</t>
        </is>
      </c>
      <c r="F14" s="13" t="inlineStr">
        <is>
          <t>Av. Pioneiro Maurício Mariani</t>
        </is>
      </c>
      <c r="G14" s="12" t="n">
        <v>169.28</v>
      </c>
      <c r="H14" s="12" t="n">
        <v>300.27</v>
      </c>
      <c r="I14" s="12" t="n"/>
      <c r="J14" s="12" t="n"/>
      <c r="K14" s="12" t="n"/>
      <c r="L14" s="12" t="n">
        <v>6</v>
      </c>
      <c r="M14" s="16" t="n">
        <v>3690</v>
      </c>
      <c r="N14" s="12" t="inlineStr"/>
      <c r="O14" s="14">
        <f>HYPERLINK("https://juniorjoda.com.br/imovel/43820000189/","Ver anúncio")</f>
        <v/>
      </c>
    </row>
    <row r="15">
      <c r="A15" s="9" t="inlineStr">
        <is>
          <t>43820000223</t>
        </is>
      </c>
      <c r="B15" s="9" t="inlineStr">
        <is>
          <t>Apartamento</t>
        </is>
      </c>
      <c r="C15" s="10" t="inlineStr">
        <is>
          <t>São Tomé</t>
        </is>
      </c>
      <c r="D15" s="10" t="inlineStr">
        <is>
          <t>Zona 07</t>
        </is>
      </c>
      <c r="E15" s="9" t="inlineStr">
        <is>
          <t>Maringá - PR</t>
        </is>
      </c>
      <c r="F15" s="10" t="inlineStr">
        <is>
          <t>R. Campos Sales</t>
        </is>
      </c>
      <c r="G15" s="9" t="n">
        <v>89</v>
      </c>
      <c r="H15" s="9" t="n">
        <v>184.4</v>
      </c>
      <c r="I15" s="9" t="n"/>
      <c r="J15" s="9" t="n">
        <v>1</v>
      </c>
      <c r="K15" s="9" t="n">
        <v>1</v>
      </c>
      <c r="L15" s="9" t="n">
        <v>2</v>
      </c>
      <c r="M15" s="15" t="n">
        <v>3800</v>
      </c>
      <c r="N15" s="9" t="inlineStr"/>
      <c r="O15" s="11">
        <f>HYPERLINK("https://juniorjoda.com.br/imovel/43820000223/","Ver anúncio")</f>
        <v/>
      </c>
    </row>
    <row r="16">
      <c r="A16" s="12" t="inlineStr">
        <is>
          <t>43820000208</t>
        </is>
      </c>
      <c r="B16" s="12" t="inlineStr">
        <is>
          <t>Sala Comercial em Edifício</t>
        </is>
      </c>
      <c r="C16" s="13" t="inlineStr"/>
      <c r="D16" s="13" t="inlineStr">
        <is>
          <t>Zona 03</t>
        </is>
      </c>
      <c r="E16" s="12" t="inlineStr">
        <is>
          <t>Maringá - PR</t>
        </is>
      </c>
      <c r="F16" s="13" t="inlineStr">
        <is>
          <t>R. Santos Dumont</t>
        </is>
      </c>
      <c r="G16" s="12" t="n">
        <v>60.39</v>
      </c>
      <c r="H16" s="12" t="n"/>
      <c r="I16" s="12" t="n"/>
      <c r="J16" s="12" t="n"/>
      <c r="K16" s="12" t="n"/>
      <c r="L16" s="12" t="n">
        <v>1</v>
      </c>
      <c r="M16" s="16" t="n">
        <v>3925.35</v>
      </c>
      <c r="N16" s="12" t="inlineStr"/>
      <c r="O16" s="14">
        <f>HYPERLINK("https://juniorjoda.com.br/imovel/43820000208/","Ver anúncio")</f>
        <v/>
      </c>
    </row>
    <row r="17">
      <c r="A17" s="9" t="inlineStr">
        <is>
          <t>43820000222</t>
        </is>
      </c>
      <c r="B17" s="9" t="inlineStr">
        <is>
          <t>Apartamento</t>
        </is>
      </c>
      <c r="C17" s="10" t="inlineStr">
        <is>
          <t>Bonne Vie Halchuk Residencial Club</t>
        </is>
      </c>
      <c r="D17" s="10" t="inlineStr">
        <is>
          <t>Vila Bosque</t>
        </is>
      </c>
      <c r="E17" s="9" t="inlineStr">
        <is>
          <t>Maringá - PR</t>
        </is>
      </c>
      <c r="F17" s="10" t="inlineStr">
        <is>
          <t>R. Mem de Sá</t>
        </is>
      </c>
      <c r="G17" s="9" t="n">
        <v>77.63</v>
      </c>
      <c r="H17" s="9" t="n">
        <v>109.8</v>
      </c>
      <c r="I17" s="9" t="n"/>
      <c r="J17" s="9" t="n">
        <v>2</v>
      </c>
      <c r="K17" s="9" t="n">
        <v>1</v>
      </c>
      <c r="L17" s="9" t="n">
        <v>2</v>
      </c>
      <c r="M17" s="15" t="n">
        <v>4000</v>
      </c>
      <c r="N17" s="9" t="inlineStr"/>
      <c r="O17" s="11">
        <f>HYPERLINK("https://juniorjoda.com.br/imovel/43820000222/","Ver anúncio")</f>
        <v/>
      </c>
    </row>
    <row r="18">
      <c r="A18" s="12" t="inlineStr">
        <is>
          <t>43820000196</t>
        </is>
      </c>
      <c r="B18" s="12" t="inlineStr">
        <is>
          <t>Sala Comercial</t>
        </is>
      </c>
      <c r="C18" s="13" t="inlineStr">
        <is>
          <t>Phenom Parque Empresarial</t>
        </is>
      </c>
      <c r="D18" s="13" t="inlineStr">
        <is>
          <t>Zona Armazém</t>
        </is>
      </c>
      <c r="E18" s="12" t="inlineStr">
        <is>
          <t>Maringá - PR</t>
        </is>
      </c>
      <c r="F18" s="13" t="inlineStr">
        <is>
          <t>Av. Carneiro Leão</t>
        </is>
      </c>
      <c r="G18" s="12" t="n">
        <v>46.17</v>
      </c>
      <c r="H18" s="12" t="n"/>
      <c r="I18" s="12" t="n"/>
      <c r="J18" s="12" t="n"/>
      <c r="K18" s="12" t="n"/>
      <c r="L18" s="12" t="n">
        <v>1</v>
      </c>
      <c r="M18" s="16" t="n">
        <v>4200</v>
      </c>
      <c r="N18" s="12" t="inlineStr"/>
      <c r="O18" s="14">
        <f>HYPERLINK("https://juniorjoda.com.br/imovel/43820000196/","Ver anúncio")</f>
        <v/>
      </c>
    </row>
    <row r="19">
      <c r="A19" s="9" t="inlineStr">
        <is>
          <t>43820000198</t>
        </is>
      </c>
      <c r="B19" s="9" t="inlineStr">
        <is>
          <t>Sala Comercial</t>
        </is>
      </c>
      <c r="C19" s="10" t="inlineStr">
        <is>
          <t>Phenom Parque Empresarial</t>
        </is>
      </c>
      <c r="D19" s="10" t="inlineStr">
        <is>
          <t>Zona Armazém</t>
        </is>
      </c>
      <c r="E19" s="9" t="inlineStr">
        <is>
          <t>Maringá - PR</t>
        </is>
      </c>
      <c r="F19" s="10" t="inlineStr">
        <is>
          <t>Av. Carneiro Leão</t>
        </is>
      </c>
      <c r="G19" s="9" t="n">
        <v>50.77</v>
      </c>
      <c r="H19" s="9" t="n"/>
      <c r="I19" s="9" t="n"/>
      <c r="J19" s="9" t="n"/>
      <c r="K19" s="9" t="n"/>
      <c r="L19" s="9" t="n">
        <v>1</v>
      </c>
      <c r="M19" s="15" t="n">
        <v>4500</v>
      </c>
      <c r="N19" s="9" t="inlineStr"/>
      <c r="O19" s="11">
        <f>HYPERLINK("https://juniorjoda.com.br/imovel/43820000198/","Ver anúncio")</f>
        <v/>
      </c>
    </row>
    <row r="20">
      <c r="A20" s="12" t="inlineStr">
        <is>
          <t>43820000128</t>
        </is>
      </c>
      <c r="B20" s="12" t="inlineStr">
        <is>
          <t>Sala Comercial (Loja)</t>
        </is>
      </c>
      <c r="C20" s="13" t="inlineStr">
        <is>
          <t>Maison Florence</t>
        </is>
      </c>
      <c r="D20" s="13" t="inlineStr">
        <is>
          <t>Zona 03</t>
        </is>
      </c>
      <c r="E20" s="12" t="inlineStr">
        <is>
          <t>Maringá - PR</t>
        </is>
      </c>
      <c r="F20" s="13" t="inlineStr">
        <is>
          <t>R. Neo Alves Martins</t>
        </is>
      </c>
      <c r="G20" s="12" t="n">
        <v>201.82</v>
      </c>
      <c r="H20" s="12" t="n">
        <v>201.82</v>
      </c>
      <c r="I20" s="12" t="n"/>
      <c r="J20" s="12" t="n"/>
      <c r="K20" s="12" t="n"/>
      <c r="L20" s="12" t="n"/>
      <c r="M20" s="16" t="n">
        <v>6900</v>
      </c>
      <c r="N20" s="12" t="inlineStr"/>
      <c r="O20" s="14">
        <f>HYPERLINK("https://juniorjoda.com.br/imovel/43820000128/","Ver anúncio")</f>
        <v/>
      </c>
    </row>
    <row r="21">
      <c r="A21" s="9" t="inlineStr">
        <is>
          <t>43820000172</t>
        </is>
      </c>
      <c r="B21" s="9" t="inlineStr">
        <is>
          <t>Salão Comercial</t>
        </is>
      </c>
      <c r="C21" s="10" t="inlineStr"/>
      <c r="D21" s="10" t="inlineStr">
        <is>
          <t>Jardim Internorte</t>
        </is>
      </c>
      <c r="E21" s="9" t="inlineStr">
        <is>
          <t>Maringá - PR</t>
        </is>
      </c>
      <c r="F21" s="10" t="inlineStr">
        <is>
          <t>R. Estados Unidos</t>
        </is>
      </c>
      <c r="G21" s="9" t="n">
        <v>399.98</v>
      </c>
      <c r="H21" s="9" t="n"/>
      <c r="I21" s="9" t="n"/>
      <c r="J21" s="9" t="n"/>
      <c r="K21" s="9" t="n"/>
      <c r="L21" s="9" t="n"/>
      <c r="M21" s="15" t="n">
        <v>6900</v>
      </c>
      <c r="N21" s="9" t="inlineStr"/>
      <c r="O21" s="11">
        <f>HYPERLINK("https://juniorjoda.com.br/imovel/43820000172/","Ver anúncio")</f>
        <v/>
      </c>
    </row>
    <row r="22">
      <c r="A22" s="12" t="inlineStr">
        <is>
          <t>43820000221</t>
        </is>
      </c>
      <c r="B22" s="12" t="inlineStr">
        <is>
          <t>Sala Comercial</t>
        </is>
      </c>
      <c r="C22" s="13" t="inlineStr">
        <is>
          <t>Vision Mall</t>
        </is>
      </c>
      <c r="D22" s="13" t="inlineStr">
        <is>
          <t>Zona 08</t>
        </is>
      </c>
      <c r="E22" s="12" t="inlineStr">
        <is>
          <t>Maringá - PR</t>
        </is>
      </c>
      <c r="F22" s="13" t="inlineStr">
        <is>
          <t>Av. Londrina</t>
        </is>
      </c>
      <c r="G22" s="12" t="n">
        <v>83.19</v>
      </c>
      <c r="H22" s="12" t="n">
        <v>113.2</v>
      </c>
      <c r="I22" s="12" t="n"/>
      <c r="J22" s="12" t="n"/>
      <c r="K22" s="12" t="n"/>
      <c r="L22" s="12" t="n"/>
      <c r="M22" s="16" t="n">
        <v>7000</v>
      </c>
      <c r="N22" s="12" t="inlineStr"/>
      <c r="O22" s="14">
        <f>HYPERLINK("https://juniorjoda.com.br/imovel/43820000221/","Ver anúncio")</f>
        <v/>
      </c>
    </row>
    <row r="23">
      <c r="A23" s="9" t="inlineStr">
        <is>
          <t>43820000182</t>
        </is>
      </c>
      <c r="B23" s="9" t="inlineStr">
        <is>
          <t>Barracão</t>
        </is>
      </c>
      <c r="C23" s="10" t="inlineStr"/>
      <c r="D23" s="10" t="inlineStr">
        <is>
          <t>Jardim Aclimação</t>
        </is>
      </c>
      <c r="E23" s="9" t="inlineStr">
        <is>
          <t>Maringá - PR</t>
        </is>
      </c>
      <c r="F23" s="10" t="inlineStr">
        <is>
          <t>Av. Senador Petrônio Portela</t>
        </is>
      </c>
      <c r="G23" s="9" t="n">
        <v>342.82</v>
      </c>
      <c r="H23" s="9" t="n">
        <v>360</v>
      </c>
      <c r="I23" s="9" t="n">
        <v>360</v>
      </c>
      <c r="J23" s="9" t="n"/>
      <c r="K23" s="9" t="n"/>
      <c r="L23" s="9" t="n">
        <v>4</v>
      </c>
      <c r="M23" s="15" t="n">
        <v>11900</v>
      </c>
      <c r="N23" s="9" t="inlineStr"/>
      <c r="O23" s="11">
        <f>HYPERLINK("https://juniorjoda.com.br/imovel/43820000182/","Ver anúncio")</f>
        <v/>
      </c>
    </row>
  </sheetData>
  <autoFilter ref="A2:O2"/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2026-06-28T01:26:14Z</dcterms:created>
  <dcterms:modified xmlns:dcterms="http://purl.org/dc/terms/" xmlns:xsi="http://www.w3.org/2001/XMLSchema-instance" xsi:type="dcterms:W3CDTF">2026-06-28T01:26:15Z</dcterms:modified>
</cp:coreProperties>
</file>